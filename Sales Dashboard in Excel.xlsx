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slicers/slicer3.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5.xml" ContentType="application/vnd.openxmlformats-officedocument.drawing+xml"/>
  <Override PartName="/xl/slicers/slicer4.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202300"/>
  <mc:AlternateContent xmlns:mc="http://schemas.openxmlformats.org/markup-compatibility/2006">
    <mc:Choice Requires="x15">
      <x15ac:absPath xmlns:x15ac="http://schemas.microsoft.com/office/spreadsheetml/2010/11/ac" url="https://d.docs.live.net/a0c072dbfda6abbc/Documents/My doc/Data Analysis Projects/"/>
    </mc:Choice>
  </mc:AlternateContent>
  <xr:revisionPtr revIDLastSave="167" documentId="8_{CD3BA335-9C83-4277-B73A-17786A58E615}" xr6:coauthVersionLast="47" xr6:coauthVersionMax="47" xr10:uidLastSave="{DC179A99-5043-46F9-81C2-926B3D7032AE}"/>
  <bookViews>
    <workbookView xWindow="-108" yWindow="-108" windowWidth="23256" windowHeight="13896" firstSheet="2" activeTab="5" xr2:uid="{6C11EAE6-2042-4BE3-971D-FF2561DBD44E}"/>
  </bookViews>
  <sheets>
    <sheet name="Data" sheetId="1" r:id="rId1"/>
    <sheet name="Total Revenue by Region" sheetId="2" r:id="rId2"/>
    <sheet name="Sales by Product" sheetId="3" r:id="rId3"/>
    <sheet name="Sales by Salesperson" sheetId="4" r:id="rId4"/>
    <sheet name="Monthly Sales Trend" sheetId="5" r:id="rId5"/>
    <sheet name="Dashboard" sheetId="6" r:id="rId6"/>
  </sheets>
  <definedNames>
    <definedName name="Slicer_Product">#N/A</definedName>
    <definedName name="Slicer_Region">#N/A</definedName>
    <definedName name="Slicer_Salesperson">#N/A</definedName>
  </definedNames>
  <calcPr calcId="191029"/>
  <pivotCaches>
    <pivotCache cacheId="9" r:id="rId7"/>
  </pivotCaches>
  <extLst>
    <ext xmlns:x14="http://schemas.microsoft.com/office/spreadsheetml/2009/9/main" uri="{BBE1A952-AA13-448e-AADC-164F8A28A991}">
      <x14:slicerCaches>
        <x14:slicerCache r:id="rId8"/>
        <x14:slicerCache r:id="rId9"/>
        <x14:slicerCache r:id="rId1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N5" i="6" l="1"/>
  <c r="J5" i="6"/>
  <c r="F5" i="6"/>
</calcChain>
</file>

<file path=xl/sharedStrings.xml><?xml version="1.0" encoding="utf-8"?>
<sst xmlns="http://schemas.openxmlformats.org/spreadsheetml/2006/main" count="51" uniqueCount="21">
  <si>
    <t>Date</t>
  </si>
  <si>
    <t>Product</t>
  </si>
  <si>
    <t>Region</t>
  </si>
  <si>
    <t>Salesperson</t>
  </si>
  <si>
    <t>Units Sold</t>
  </si>
  <si>
    <t>Revenue</t>
  </si>
  <si>
    <t>Laptop</t>
  </si>
  <si>
    <t>North</t>
  </si>
  <si>
    <t>Amit</t>
  </si>
  <si>
    <t>Mobile</t>
  </si>
  <si>
    <t>South</t>
  </si>
  <si>
    <t>Ravi</t>
  </si>
  <si>
    <t>Tablet</t>
  </si>
  <si>
    <t>East</t>
  </si>
  <si>
    <t>Neha</t>
  </si>
  <si>
    <t>West</t>
  </si>
  <si>
    <t>Priya</t>
  </si>
  <si>
    <t>Row Labels</t>
  </si>
  <si>
    <t>Grand Total</t>
  </si>
  <si>
    <t>Sum of Revenue</t>
  </si>
  <si>
    <t>SALES DASHBOARD (2025)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</si>
</sst>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8" formatCode="&quot;₹&quot;\ #,##0"/>
  </numFmts>
  <fonts count="3" x14ac:knownFonts="1">
    <font>
      <sz val="11"/>
      <color theme="1"/>
      <name val="Aptos Narrow"/>
      <family val="2"/>
      <scheme val="minor"/>
    </font>
    <font>
      <b/>
      <sz val="11"/>
      <color theme="1"/>
      <name val="Aptos Narrow"/>
      <family val="2"/>
      <scheme val="minor"/>
    </font>
    <font>
      <b/>
      <sz val="20"/>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1">
    <xf numFmtId="0" fontId="0" fillId="0" borderId="0" xfId="0"/>
    <xf numFmtId="0" fontId="1" fillId="0" borderId="0" xfId="0" applyFont="1" applyAlignment="1">
      <alignment horizontal="center" vertical="center" wrapText="1"/>
    </xf>
    <xf numFmtId="14" fontId="0" fillId="0" borderId="0" xfId="0" applyNumberFormat="1" applyAlignment="1">
      <alignment vertical="center" wrapText="1"/>
    </xf>
    <xf numFmtId="0" fontId="0" fillId="0" borderId="0" xfId="0" applyAlignment="1">
      <alignment vertical="center" wrapText="1"/>
    </xf>
    <xf numFmtId="0" fontId="0" fillId="0" borderId="0" xfId="0" pivotButton="1"/>
    <xf numFmtId="0" fontId="0" fillId="0" borderId="0" xfId="0" applyAlignment="1">
      <alignment horizontal="left"/>
    </xf>
    <xf numFmtId="0" fontId="0" fillId="0" borderId="0" xfId="0" applyNumberFormat="1"/>
    <xf numFmtId="14" fontId="0" fillId="0" borderId="0" xfId="0" applyNumberFormat="1" applyAlignment="1">
      <alignment horizontal="left"/>
    </xf>
    <xf numFmtId="168" fontId="0" fillId="0" borderId="0" xfId="0" applyNumberFormat="1"/>
    <xf numFmtId="0" fontId="0" fillId="0" borderId="0" xfId="0" applyAlignment="1">
      <alignment horizontal="center"/>
    </xf>
    <xf numFmtId="0" fontId="2" fillId="0" borderId="0" xfId="0" applyFont="1" applyAlignment="1">
      <alignment horizontal="center"/>
    </xf>
  </cellXfs>
  <cellStyles count="1">
    <cellStyle name="Normal" xfId="0" builtinId="0"/>
  </cellStyles>
  <dxfs count="8">
    <dxf>
      <font>
        <b/>
        <i val="0"/>
        <strike val="0"/>
        <condense val="0"/>
        <extend val="0"/>
        <outline val="0"/>
        <shadow val="0"/>
        <u val="none"/>
        <vertAlign val="baseline"/>
        <sz val="11"/>
        <color theme="1"/>
        <name val="Aptos Narrow"/>
        <family val="2"/>
        <scheme val="minor"/>
      </font>
      <alignment horizontal="center"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numFmt numFmtId="19" formatCode="dd/mm/yyyy"/>
      <alignment horizontal="general" vertical="center"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microsoft.com/office/2007/relationships/slicerCache" Target="slicerCaches/slicerCache3.xml"/><Relationship Id="rId4" Type="http://schemas.openxmlformats.org/officeDocument/2006/relationships/worksheet" Target="worksheets/sheet4.xml"/><Relationship Id="rId9" Type="http://schemas.microsoft.com/office/2007/relationships/slicerCache" Target="slicerCaches/slicerCache2.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 in Excel.xlsx]Total Revenue by Region!PivotTable1</c:name>
    <c:fmtId val="7"/>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'Total Revenue by Region'!$B$3</c:f>
              <c:strCache>
                <c:ptCount val="1"/>
                <c:pt idx="0">
                  <c:v>Total</c:v>
                </c:pt>
              </c:strCache>
            </c:strRef>
          </c:tx>
          <c:spPr>
            <a:solidFill>
              <a:schemeClr val="accent1"/>
            </a:solidFill>
            <a:ln>
              <a:noFill/>
            </a:ln>
            <a:effectLst/>
          </c:spPr>
          <c:invertIfNegative val="0"/>
          <c:cat>
            <c:strRef>
              <c:f>'Total Revenue by Region'!$A$4:$A$8</c:f>
              <c:strCache>
                <c:ptCount val="4"/>
                <c:pt idx="0">
                  <c:v>East</c:v>
                </c:pt>
                <c:pt idx="1">
                  <c:v>North</c:v>
                </c:pt>
                <c:pt idx="2">
                  <c:v>South</c:v>
                </c:pt>
                <c:pt idx="3">
                  <c:v>West</c:v>
                </c:pt>
              </c:strCache>
            </c:strRef>
          </c:cat>
          <c:val>
            <c:numRef>
              <c:f>'Total Revenue by Region'!$B$4:$B$8</c:f>
              <c:numCache>
                <c:formatCode>General</c:formatCode>
                <c:ptCount val="4"/>
                <c:pt idx="0">
                  <c:v>305000</c:v>
                </c:pt>
                <c:pt idx="1">
                  <c:v>370000</c:v>
                </c:pt>
                <c:pt idx="2">
                  <c:v>240000</c:v>
                </c:pt>
                <c:pt idx="3">
                  <c:v>150000</c:v>
                </c:pt>
              </c:numCache>
            </c:numRef>
          </c:val>
          <c:extLst>
            <c:ext xmlns:c16="http://schemas.microsoft.com/office/drawing/2014/chart" uri="{C3380CC4-5D6E-409C-BE32-E72D297353CC}">
              <c16:uniqueId val="{00000000-36A3-4F24-BE9E-1626D2FDD228}"/>
            </c:ext>
          </c:extLst>
        </c:ser>
        <c:dLbls>
          <c:showLegendKey val="0"/>
          <c:showVal val="0"/>
          <c:showCatName val="0"/>
          <c:showSerName val="0"/>
          <c:showPercent val="0"/>
          <c:showBubbleSize val="0"/>
        </c:dLbls>
        <c:gapWidth val="150"/>
        <c:axId val="474658703"/>
        <c:axId val="474675503"/>
      </c:barChart>
      <c:catAx>
        <c:axId val="474658703"/>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4675503"/>
        <c:crosses val="autoZero"/>
        <c:auto val="1"/>
        <c:lblAlgn val="ctr"/>
        <c:lblOffset val="100"/>
        <c:noMultiLvlLbl val="0"/>
      </c:catAx>
      <c:valAx>
        <c:axId val="47467550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465870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 in Excel.xlsx]Sales by Product!PivotTable2</c:name>
    <c:fmtId val="2"/>
  </c:pivotSource>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1"/>
          <c:showSerName val="0"/>
          <c:showPercent val="1"/>
          <c:showBubbleSize val="0"/>
          <c:extLst>
            <c:ext xmlns:c15="http://schemas.microsoft.com/office/drawing/2012/chart" uri="{CE6537A1-D6FC-4f65-9D91-7224C49458BB}"/>
          </c:extLst>
        </c:dLbl>
      </c:pivotFmt>
    </c:pivotFmts>
    <c:plotArea>
      <c:layout/>
      <c:pieChart>
        <c:varyColors val="1"/>
        <c:ser>
          <c:idx val="0"/>
          <c:order val="0"/>
          <c:tx>
            <c:strRef>
              <c:f>'Sales by Product'!$B$3</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dPt>
          <c:dPt>
            <c:idx val="1"/>
            <c:bubble3D val="0"/>
            <c:spPr>
              <a:solidFill>
                <a:schemeClr val="accent2"/>
              </a:solidFill>
              <a:ln>
                <a:noFill/>
              </a:ln>
              <a:effectLst>
                <a:outerShdw blurRad="254000" sx="102000" sy="102000" algn="ctr" rotWithShape="0">
                  <a:prstClr val="black">
                    <a:alpha val="20000"/>
                  </a:prstClr>
                </a:outerShdw>
              </a:effectLst>
            </c:spPr>
          </c:dPt>
          <c:dPt>
            <c:idx val="2"/>
            <c:bubble3D val="0"/>
            <c:spPr>
              <a:solidFill>
                <a:schemeClr val="accent3"/>
              </a:solidFill>
              <a:ln>
                <a:noFill/>
              </a:ln>
              <a:effectLst>
                <a:outerShdw blurRad="254000" sx="102000" sy="102000" algn="ctr" rotWithShape="0">
                  <a:prstClr val="black">
                    <a:alpha val="20000"/>
                  </a:prstClr>
                </a:outerShdw>
              </a:effectLst>
            </c:spPr>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1"/>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'Sales by Product'!$A$4:$A$7</c:f>
              <c:strCache>
                <c:ptCount val="3"/>
                <c:pt idx="0">
                  <c:v>Laptop</c:v>
                </c:pt>
                <c:pt idx="1">
                  <c:v>Mobile</c:v>
                </c:pt>
                <c:pt idx="2">
                  <c:v>Tablet</c:v>
                </c:pt>
              </c:strCache>
            </c:strRef>
          </c:cat>
          <c:val>
            <c:numRef>
              <c:f>'Sales by Product'!$B$4:$B$7</c:f>
              <c:numCache>
                <c:formatCode>General</c:formatCode>
                <c:ptCount val="3"/>
                <c:pt idx="0">
                  <c:v>600000</c:v>
                </c:pt>
                <c:pt idx="1">
                  <c:v>270000</c:v>
                </c:pt>
                <c:pt idx="2">
                  <c:v>195000</c:v>
                </c:pt>
              </c:numCache>
            </c:numRef>
          </c:val>
          <c:extLst>
            <c:ext xmlns:c16="http://schemas.microsoft.com/office/drawing/2014/chart" uri="{C3380CC4-5D6E-409C-BE32-E72D297353CC}">
              <c16:uniqueId val="{00000000-C598-4F40-9309-9CE57811C3C7}"/>
            </c:ext>
          </c:extLst>
        </c:ser>
        <c:dLbls>
          <c:dLblPos val="ctr"/>
          <c:showLegendKey val="0"/>
          <c:showVal val="1"/>
          <c:showCatName val="0"/>
          <c:showSerName val="0"/>
          <c:showPercent val="0"/>
          <c:showBubbleSize val="0"/>
          <c:showLeaderLines val="1"/>
        </c:dLbls>
        <c:firstSliceAng val="0"/>
      </c:pie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 in Excel.xlsx]Sales by Salesperson!PivotTable3</c:name>
    <c:fmtId val="4"/>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'Sales by Salesperson'!$B$3</c:f>
              <c:strCache>
                <c:ptCount val="1"/>
                <c:pt idx="0">
                  <c:v>Total</c:v>
                </c:pt>
              </c:strCache>
            </c:strRef>
          </c:tx>
          <c:spPr>
            <a:solidFill>
              <a:schemeClr val="accent1"/>
            </a:solidFill>
            <a:ln>
              <a:noFill/>
            </a:ln>
            <a:effectLst/>
          </c:spPr>
          <c:invertIfNegative val="0"/>
          <c:cat>
            <c:strRef>
              <c:f>'Sales by Salesperson'!$A$4:$A$8</c:f>
              <c:strCache>
                <c:ptCount val="4"/>
                <c:pt idx="0">
                  <c:v>Amit</c:v>
                </c:pt>
                <c:pt idx="1">
                  <c:v>Neha</c:v>
                </c:pt>
                <c:pt idx="2">
                  <c:v>Priya</c:v>
                </c:pt>
                <c:pt idx="3">
                  <c:v>Ravi</c:v>
                </c:pt>
              </c:strCache>
            </c:strRef>
          </c:cat>
          <c:val>
            <c:numRef>
              <c:f>'Sales by Salesperson'!$B$4:$B$8</c:f>
              <c:numCache>
                <c:formatCode>General</c:formatCode>
                <c:ptCount val="4"/>
                <c:pt idx="0">
                  <c:v>370000</c:v>
                </c:pt>
                <c:pt idx="1">
                  <c:v>305000</c:v>
                </c:pt>
                <c:pt idx="2">
                  <c:v>150000</c:v>
                </c:pt>
                <c:pt idx="3">
                  <c:v>240000</c:v>
                </c:pt>
              </c:numCache>
            </c:numRef>
          </c:val>
          <c:extLst>
            <c:ext xmlns:c16="http://schemas.microsoft.com/office/drawing/2014/chart" uri="{C3380CC4-5D6E-409C-BE32-E72D297353CC}">
              <c16:uniqueId val="{00000000-0830-4DEA-A83B-EC0220B616E6}"/>
            </c:ext>
          </c:extLst>
        </c:ser>
        <c:dLbls>
          <c:showLegendKey val="0"/>
          <c:showVal val="0"/>
          <c:showCatName val="0"/>
          <c:showSerName val="0"/>
          <c:showPercent val="0"/>
          <c:showBubbleSize val="0"/>
        </c:dLbls>
        <c:gapWidth val="150"/>
        <c:axId val="683830767"/>
        <c:axId val="683831727"/>
      </c:barChart>
      <c:catAx>
        <c:axId val="683830767"/>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83831727"/>
        <c:crosses val="autoZero"/>
        <c:auto val="1"/>
        <c:lblAlgn val="ctr"/>
        <c:lblOffset val="100"/>
        <c:noMultiLvlLbl val="0"/>
      </c:catAx>
      <c:valAx>
        <c:axId val="68383172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8383076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 in Excel.xlsx]Monthly Sales Trend!PivotTable4</c:name>
    <c:fmtId val="8"/>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'Monthly Sales Trend'!$B$3</c:f>
              <c:strCache>
                <c:ptCount val="1"/>
                <c:pt idx="0">
                  <c:v>Total</c:v>
                </c:pt>
              </c:strCache>
            </c:strRef>
          </c:tx>
          <c:spPr>
            <a:ln w="28575" cap="rnd">
              <a:solidFill>
                <a:schemeClr val="accent1"/>
              </a:solidFill>
              <a:round/>
            </a:ln>
            <a:effectLst/>
          </c:spPr>
          <c:marker>
            <c:symbol val="none"/>
          </c:marker>
          <c:cat>
            <c:strRef>
              <c:f>'Monthly Sales Trend'!$A$4:$A$11</c:f>
              <c:strCache>
                <c:ptCount val="7"/>
                <c:pt idx="0">
                  <c:v>01-01-2025</c:v>
                </c:pt>
                <c:pt idx="1">
                  <c:v>02-01-2025</c:v>
                </c:pt>
                <c:pt idx="2">
                  <c:v>03-01-2025</c:v>
                </c:pt>
                <c:pt idx="3">
                  <c:v>04-01-2025</c:v>
                </c:pt>
                <c:pt idx="4">
                  <c:v>05-01-2025</c:v>
                </c:pt>
                <c:pt idx="5">
                  <c:v>06-01-2025</c:v>
                </c:pt>
                <c:pt idx="6">
                  <c:v>07-01-2025</c:v>
                </c:pt>
              </c:strCache>
            </c:strRef>
          </c:cat>
          <c:val>
            <c:numRef>
              <c:f>'Monthly Sales Trend'!$B$4:$B$11</c:f>
              <c:numCache>
                <c:formatCode>General</c:formatCode>
                <c:ptCount val="7"/>
                <c:pt idx="0">
                  <c:v>250000</c:v>
                </c:pt>
                <c:pt idx="1">
                  <c:v>150000</c:v>
                </c:pt>
                <c:pt idx="2">
                  <c:v>105000</c:v>
                </c:pt>
                <c:pt idx="3">
                  <c:v>150000</c:v>
                </c:pt>
                <c:pt idx="4">
                  <c:v>120000</c:v>
                </c:pt>
                <c:pt idx="5">
                  <c:v>90000</c:v>
                </c:pt>
                <c:pt idx="6">
                  <c:v>200000</c:v>
                </c:pt>
              </c:numCache>
            </c:numRef>
          </c:val>
          <c:smooth val="0"/>
          <c:extLst>
            <c:ext xmlns:c16="http://schemas.microsoft.com/office/drawing/2014/chart" uri="{C3380CC4-5D6E-409C-BE32-E72D297353CC}">
              <c16:uniqueId val="{00000000-51AF-467E-AC11-AA49359720C4}"/>
            </c:ext>
          </c:extLst>
        </c:ser>
        <c:dLbls>
          <c:showLegendKey val="0"/>
          <c:showVal val="0"/>
          <c:showCatName val="0"/>
          <c:showSerName val="0"/>
          <c:showPercent val="0"/>
          <c:showBubbleSize val="0"/>
        </c:dLbls>
        <c:smooth val="0"/>
        <c:axId val="474681743"/>
        <c:axId val="401835295"/>
      </c:lineChart>
      <c:catAx>
        <c:axId val="4746817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1835295"/>
        <c:crosses val="autoZero"/>
        <c:auto val="1"/>
        <c:lblAlgn val="ctr"/>
        <c:lblOffset val="100"/>
        <c:noMultiLvlLbl val="0"/>
      </c:catAx>
      <c:valAx>
        <c:axId val="40183529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468174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[Sales Dashboard in Excel.xlsx]Total Revenue by Region!PivotTable1</c:name>
    <c:fmtId val="1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Revenue by Region</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'Total Revenue by Region'!$B$3</c:f>
              <c:strCache>
                <c:ptCount val="1"/>
                <c:pt idx="0">
                  <c:v>Total</c:v>
                </c:pt>
              </c:strCache>
            </c:strRef>
          </c:tx>
          <c:spPr>
            <a:solidFill>
              <a:schemeClr val="accent4"/>
            </a:solidFill>
            <a:ln>
              <a:noFill/>
            </a:ln>
            <a:effectLst/>
          </c:spPr>
          <c:invertIfNegative val="0"/>
          <c:cat>
            <c:strRef>
              <c:f>'Total Revenue by Region'!$A$4:$A$8</c:f>
              <c:strCache>
                <c:ptCount val="4"/>
                <c:pt idx="0">
                  <c:v>East</c:v>
                </c:pt>
                <c:pt idx="1">
                  <c:v>North</c:v>
                </c:pt>
                <c:pt idx="2">
                  <c:v>South</c:v>
                </c:pt>
                <c:pt idx="3">
                  <c:v>West</c:v>
                </c:pt>
              </c:strCache>
            </c:strRef>
          </c:cat>
          <c:val>
            <c:numRef>
              <c:f>'Total Revenue by Region'!$B$4:$B$8</c:f>
              <c:numCache>
                <c:formatCode>General</c:formatCode>
                <c:ptCount val="4"/>
                <c:pt idx="0">
                  <c:v>305000</c:v>
                </c:pt>
                <c:pt idx="1">
                  <c:v>370000</c:v>
                </c:pt>
                <c:pt idx="2">
                  <c:v>240000</c:v>
                </c:pt>
                <c:pt idx="3">
                  <c:v>150000</c:v>
                </c:pt>
              </c:numCache>
            </c:numRef>
          </c:val>
          <c:extLst>
            <c:ext xmlns:c16="http://schemas.microsoft.com/office/drawing/2014/chart" uri="{C3380CC4-5D6E-409C-BE32-E72D297353CC}">
              <c16:uniqueId val="{00000000-B6F3-4F29-B53C-6F81BA158C7B}"/>
            </c:ext>
          </c:extLst>
        </c:ser>
        <c:dLbls>
          <c:showLegendKey val="0"/>
          <c:showVal val="0"/>
          <c:showCatName val="0"/>
          <c:showSerName val="0"/>
          <c:showPercent val="0"/>
          <c:showBubbleSize val="0"/>
        </c:dLbls>
        <c:gapWidth val="150"/>
        <c:axId val="474658703"/>
        <c:axId val="474675503"/>
      </c:barChart>
      <c:catAx>
        <c:axId val="474658703"/>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4675503"/>
        <c:crosses val="autoZero"/>
        <c:auto val="1"/>
        <c:lblAlgn val="ctr"/>
        <c:lblOffset val="100"/>
        <c:noMultiLvlLbl val="0"/>
      </c:catAx>
      <c:valAx>
        <c:axId val="47467550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465870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[Sales Dashboard in Excel.xlsx]Sales by Salesperson!PivotTable3</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Sales by Salesperson</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'Sales by Salesperson'!$B$3</c:f>
              <c:strCache>
                <c:ptCount val="1"/>
                <c:pt idx="0">
                  <c:v>Total</c:v>
                </c:pt>
              </c:strCache>
            </c:strRef>
          </c:tx>
          <c:spPr>
            <a:solidFill>
              <a:schemeClr val="accent4"/>
            </a:solidFill>
            <a:ln>
              <a:noFill/>
            </a:ln>
            <a:effectLst/>
          </c:spPr>
          <c:invertIfNegative val="0"/>
          <c:cat>
            <c:strRef>
              <c:f>'Sales by Salesperson'!$A$4:$A$8</c:f>
              <c:strCache>
                <c:ptCount val="4"/>
                <c:pt idx="0">
                  <c:v>Amit</c:v>
                </c:pt>
                <c:pt idx="1">
                  <c:v>Neha</c:v>
                </c:pt>
                <c:pt idx="2">
                  <c:v>Priya</c:v>
                </c:pt>
                <c:pt idx="3">
                  <c:v>Ravi</c:v>
                </c:pt>
              </c:strCache>
            </c:strRef>
          </c:cat>
          <c:val>
            <c:numRef>
              <c:f>'Sales by Salesperson'!$B$4:$B$8</c:f>
              <c:numCache>
                <c:formatCode>General</c:formatCode>
                <c:ptCount val="4"/>
                <c:pt idx="0">
                  <c:v>370000</c:v>
                </c:pt>
                <c:pt idx="1">
                  <c:v>305000</c:v>
                </c:pt>
                <c:pt idx="2">
                  <c:v>150000</c:v>
                </c:pt>
                <c:pt idx="3">
                  <c:v>240000</c:v>
                </c:pt>
              </c:numCache>
            </c:numRef>
          </c:val>
          <c:extLst>
            <c:ext xmlns:c16="http://schemas.microsoft.com/office/drawing/2014/chart" uri="{C3380CC4-5D6E-409C-BE32-E72D297353CC}">
              <c16:uniqueId val="{00000000-8602-46B2-A53E-9A3ADCAC388A}"/>
            </c:ext>
          </c:extLst>
        </c:ser>
        <c:dLbls>
          <c:showLegendKey val="0"/>
          <c:showVal val="0"/>
          <c:showCatName val="0"/>
          <c:showSerName val="0"/>
          <c:showPercent val="0"/>
          <c:showBubbleSize val="0"/>
        </c:dLbls>
        <c:gapWidth val="150"/>
        <c:axId val="683830767"/>
        <c:axId val="683831727"/>
      </c:barChart>
      <c:catAx>
        <c:axId val="683830767"/>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83831727"/>
        <c:crosses val="autoZero"/>
        <c:auto val="1"/>
        <c:lblAlgn val="ctr"/>
        <c:lblOffset val="100"/>
        <c:noMultiLvlLbl val="0"/>
      </c:catAx>
      <c:valAx>
        <c:axId val="68383172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8383076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[Sales Dashboard in Excel.xlsx]Monthly Sales Trend!PivotTable4</c:name>
    <c:fmtId val="1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a:t>
            </a:r>
            <a:r>
              <a:rPr lang="en-US" baseline="0"/>
              <a:t> Trend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4"/>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'Monthly Sales Trend'!$B$3</c:f>
              <c:strCache>
                <c:ptCount val="1"/>
                <c:pt idx="0">
                  <c:v>Total</c:v>
                </c:pt>
              </c:strCache>
            </c:strRef>
          </c:tx>
          <c:spPr>
            <a:ln w="28575" cap="rnd">
              <a:solidFill>
                <a:schemeClr val="accent4"/>
              </a:solidFill>
              <a:round/>
            </a:ln>
            <a:effectLst/>
          </c:spPr>
          <c:marker>
            <c:symbol val="none"/>
          </c:marker>
          <c:cat>
            <c:strRef>
              <c:f>'Monthly Sales Trend'!$A$4:$A$11</c:f>
              <c:strCache>
                <c:ptCount val="7"/>
                <c:pt idx="0">
                  <c:v>01-01-2025</c:v>
                </c:pt>
                <c:pt idx="1">
                  <c:v>02-01-2025</c:v>
                </c:pt>
                <c:pt idx="2">
                  <c:v>03-01-2025</c:v>
                </c:pt>
                <c:pt idx="3">
                  <c:v>04-01-2025</c:v>
                </c:pt>
                <c:pt idx="4">
                  <c:v>05-01-2025</c:v>
                </c:pt>
                <c:pt idx="5">
                  <c:v>06-01-2025</c:v>
                </c:pt>
                <c:pt idx="6">
                  <c:v>07-01-2025</c:v>
                </c:pt>
              </c:strCache>
            </c:strRef>
          </c:cat>
          <c:val>
            <c:numRef>
              <c:f>'Monthly Sales Trend'!$B$4:$B$11</c:f>
              <c:numCache>
                <c:formatCode>General</c:formatCode>
                <c:ptCount val="7"/>
                <c:pt idx="0">
                  <c:v>250000</c:v>
                </c:pt>
                <c:pt idx="1">
                  <c:v>150000</c:v>
                </c:pt>
                <c:pt idx="2">
                  <c:v>105000</c:v>
                </c:pt>
                <c:pt idx="3">
                  <c:v>150000</c:v>
                </c:pt>
                <c:pt idx="4">
                  <c:v>120000</c:v>
                </c:pt>
                <c:pt idx="5">
                  <c:v>90000</c:v>
                </c:pt>
                <c:pt idx="6">
                  <c:v>200000</c:v>
                </c:pt>
              </c:numCache>
            </c:numRef>
          </c:val>
          <c:smooth val="0"/>
          <c:extLst>
            <c:ext xmlns:c16="http://schemas.microsoft.com/office/drawing/2014/chart" uri="{C3380CC4-5D6E-409C-BE32-E72D297353CC}">
              <c16:uniqueId val="{00000000-04BD-476B-86D8-232FC038456B}"/>
            </c:ext>
          </c:extLst>
        </c:ser>
        <c:dLbls>
          <c:showLegendKey val="0"/>
          <c:showVal val="0"/>
          <c:showCatName val="0"/>
          <c:showSerName val="0"/>
          <c:showPercent val="0"/>
          <c:showBubbleSize val="0"/>
        </c:dLbls>
        <c:smooth val="0"/>
        <c:axId val="474681743"/>
        <c:axId val="401835295"/>
      </c:lineChart>
      <c:catAx>
        <c:axId val="4746817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1835295"/>
        <c:crosses val="autoZero"/>
        <c:auto val="1"/>
        <c:lblAlgn val="ctr"/>
        <c:lblOffset val="100"/>
        <c:noMultiLvlLbl val="0"/>
      </c:catAx>
      <c:valAx>
        <c:axId val="40183529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468174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[Sales Dashboard in Excel.xlsx]Sales by Product!PivotTable2</c:name>
    <c:fmtId val="11"/>
  </c:pivotSource>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4"/>
          </a:solidFill>
          <a:ln>
            <a:noFill/>
          </a:ln>
          <a:effectLst>
            <a:outerShdw blurRad="254000" sx="102000" sy="102000" algn="ctr" rotWithShape="0">
              <a:prstClr val="black">
                <a:alpha val="20000"/>
              </a:prstClr>
            </a:outerShdw>
          </a:effectLst>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1"/>
          <c:showSerName val="0"/>
          <c:showPercent val="1"/>
          <c:showBubbleSize val="0"/>
          <c:extLst>
            <c:ext xmlns:c15="http://schemas.microsoft.com/office/drawing/2012/chart" uri="{CE6537A1-D6FC-4f65-9D91-7224C49458BB}"/>
          </c:extLst>
        </c:dLbl>
      </c:pivotFmt>
      <c:pivotFmt>
        <c:idx val="1"/>
        <c:spPr>
          <a:solidFill>
            <a:schemeClr val="accent4"/>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1"/>
          <c:showSerName val="0"/>
          <c:showPercent val="1"/>
          <c:showBubbleSize val="0"/>
          <c:extLst>
            <c:ext xmlns:c15="http://schemas.microsoft.com/office/drawing/2012/chart" uri="{CE6537A1-D6FC-4f65-9D91-7224C49458BB}"/>
          </c:extLst>
        </c:dLbl>
      </c:pivotFmt>
      <c:pivotFmt>
        <c:idx val="2"/>
        <c:spPr>
          <a:solidFill>
            <a:schemeClr val="accent4"/>
          </a:solidFill>
          <a:ln>
            <a:noFill/>
          </a:ln>
          <a:effectLst>
            <a:outerShdw blurRad="254000" sx="102000" sy="102000" algn="ctr" rotWithShape="0">
              <a:prstClr val="black">
                <a:alpha val="20000"/>
              </a:prstClr>
            </a:outerShdw>
          </a:effectLst>
        </c:spPr>
      </c:pivotFmt>
      <c:pivotFmt>
        <c:idx val="3"/>
        <c:spPr>
          <a:solidFill>
            <a:schemeClr val="accent4"/>
          </a:solidFill>
          <a:ln>
            <a:noFill/>
          </a:ln>
          <a:effectLst>
            <a:outerShdw blurRad="254000" sx="102000" sy="102000" algn="ctr" rotWithShape="0">
              <a:prstClr val="black">
                <a:alpha val="20000"/>
              </a:prstClr>
            </a:outerShdw>
          </a:effectLst>
        </c:spPr>
      </c:pivotFmt>
      <c:pivotFmt>
        <c:idx val="4"/>
        <c:spPr>
          <a:solidFill>
            <a:schemeClr val="accent4"/>
          </a:solidFill>
          <a:ln>
            <a:noFill/>
          </a:ln>
          <a:effectLst>
            <a:outerShdw blurRad="254000" sx="102000" sy="102000" algn="ctr" rotWithShape="0">
              <a:prstClr val="black">
                <a:alpha val="20000"/>
              </a:prstClr>
            </a:outerShdw>
          </a:effectLst>
        </c:spPr>
      </c:pivotFmt>
      <c:pivotFmt>
        <c:idx val="5"/>
        <c:spPr>
          <a:solidFill>
            <a:schemeClr val="accent4"/>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1"/>
          <c:showSerName val="0"/>
          <c:showPercent val="1"/>
          <c:showBubbleSize val="0"/>
          <c:extLst>
            <c:ext xmlns:c15="http://schemas.microsoft.com/office/drawing/2012/chart" uri="{CE6537A1-D6FC-4f65-9D91-7224C49458BB}"/>
          </c:extLst>
        </c:dLbl>
      </c:pivotFmt>
      <c:pivotFmt>
        <c:idx val="6"/>
        <c:spPr>
          <a:solidFill>
            <a:schemeClr val="accent4"/>
          </a:solidFill>
          <a:ln>
            <a:noFill/>
          </a:ln>
          <a:effectLst>
            <a:outerShdw blurRad="254000" sx="102000" sy="102000" algn="ctr" rotWithShape="0">
              <a:prstClr val="black">
                <a:alpha val="20000"/>
              </a:prstClr>
            </a:outerShdw>
          </a:effectLst>
        </c:spPr>
      </c:pivotFmt>
      <c:pivotFmt>
        <c:idx val="7"/>
        <c:spPr>
          <a:solidFill>
            <a:schemeClr val="accent4"/>
          </a:solidFill>
          <a:ln>
            <a:noFill/>
          </a:ln>
          <a:effectLst>
            <a:outerShdw blurRad="254000" sx="102000" sy="102000" algn="ctr" rotWithShape="0">
              <a:prstClr val="black">
                <a:alpha val="20000"/>
              </a:prstClr>
            </a:outerShdw>
          </a:effectLst>
        </c:spPr>
      </c:pivotFmt>
      <c:pivotFmt>
        <c:idx val="8"/>
        <c:spPr>
          <a:solidFill>
            <a:schemeClr val="accent4"/>
          </a:solidFill>
          <a:ln>
            <a:noFill/>
          </a:ln>
          <a:effectLst>
            <a:outerShdw blurRad="254000" sx="102000" sy="102000" algn="ctr" rotWithShape="0">
              <a:prstClr val="black">
                <a:alpha val="20000"/>
              </a:prstClr>
            </a:outerShdw>
          </a:effectLst>
        </c:spPr>
      </c:pivotFmt>
    </c:pivotFmts>
    <c:plotArea>
      <c:layout/>
      <c:pieChart>
        <c:varyColors val="1"/>
        <c:ser>
          <c:idx val="0"/>
          <c:order val="0"/>
          <c:tx>
            <c:strRef>
              <c:f>'Sales by Product'!$B$3</c:f>
              <c:strCache>
                <c:ptCount val="1"/>
                <c:pt idx="0">
                  <c:v>Total</c:v>
                </c:pt>
              </c:strCache>
            </c:strRef>
          </c:tx>
          <c:dPt>
            <c:idx val="0"/>
            <c:bubble3D val="0"/>
            <c:spPr>
              <a:solidFill>
                <a:schemeClr val="accent4">
                  <a:shade val="65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EF5B-4DD2-A187-A7F68AC2102B}"/>
              </c:ext>
            </c:extLst>
          </c:dPt>
          <c:dPt>
            <c:idx val="1"/>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EF5B-4DD2-A187-A7F68AC2102B}"/>
              </c:ext>
            </c:extLst>
          </c:dPt>
          <c:dPt>
            <c:idx val="2"/>
            <c:bubble3D val="0"/>
            <c:spPr>
              <a:solidFill>
                <a:schemeClr val="accent4">
                  <a:tint val="65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EF5B-4DD2-A187-A7F68AC2102B}"/>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1"/>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'Sales by Product'!$A$4:$A$7</c:f>
              <c:strCache>
                <c:ptCount val="3"/>
                <c:pt idx="0">
                  <c:v>Laptop</c:v>
                </c:pt>
                <c:pt idx="1">
                  <c:v>Mobile</c:v>
                </c:pt>
                <c:pt idx="2">
                  <c:v>Tablet</c:v>
                </c:pt>
              </c:strCache>
            </c:strRef>
          </c:cat>
          <c:val>
            <c:numRef>
              <c:f>'Sales by Product'!$B$4:$B$7</c:f>
              <c:numCache>
                <c:formatCode>General</c:formatCode>
                <c:ptCount val="3"/>
                <c:pt idx="0">
                  <c:v>600000</c:v>
                </c:pt>
                <c:pt idx="1">
                  <c:v>270000</c:v>
                </c:pt>
                <c:pt idx="2">
                  <c:v>195000</c:v>
                </c:pt>
              </c:numCache>
            </c:numRef>
          </c:val>
          <c:extLst>
            <c:ext xmlns:c16="http://schemas.microsoft.com/office/drawing/2014/chart" uri="{C3380CC4-5D6E-409C-BE32-E72D297353CC}">
              <c16:uniqueId val="{00000006-EF5B-4DD2-A187-A7F68AC2102B}"/>
            </c:ext>
          </c:extLst>
        </c:ser>
        <c:dLbls>
          <c:dLblPos val="ctr"/>
          <c:showLegendKey val="0"/>
          <c:showVal val="1"/>
          <c:showCatName val="0"/>
          <c:showSerName val="0"/>
          <c:showPercent val="0"/>
          <c:showBubbleSize val="0"/>
          <c:showLeaderLines val="1"/>
        </c:dLbls>
        <c:firstSliceAng val="0"/>
      </c:pie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withinLinear" id="17">
  <a:schemeClr val="accent4"/>
</cs:colorStyle>
</file>

<file path=xl/charts/colors6.xml><?xml version="1.0" encoding="utf-8"?>
<cs:colorStyle xmlns:cs="http://schemas.microsoft.com/office/drawing/2012/chartStyle" xmlns:a="http://schemas.openxmlformats.org/drawingml/2006/main" meth="withinLinear" id="17">
  <a:schemeClr val="accent4"/>
</cs:colorStyle>
</file>

<file path=xl/charts/colors7.xml><?xml version="1.0" encoding="utf-8"?>
<cs:colorStyle xmlns:cs="http://schemas.microsoft.com/office/drawing/2012/chartStyle" xmlns:a="http://schemas.openxmlformats.org/drawingml/2006/main" meth="withinLinear" id="17">
  <a:schemeClr val="accent4"/>
</cs:colorStyle>
</file>

<file path=xl/charts/colors8.xml><?xml version="1.0" encoding="utf-8"?>
<cs:colorStyle xmlns:cs="http://schemas.microsoft.com/office/drawing/2012/chartStyle" xmlns:a="http://schemas.openxmlformats.org/drawingml/2006/main" meth="withinLinear" id="17">
  <a:schemeClr val="accent4"/>
</cs:colorStyle>
</file>

<file path=xl/charts/style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3</xdr:col>
      <xdr:colOff>30480</xdr:colOff>
      <xdr:row>2</xdr:row>
      <xdr:rowOff>125730</xdr:rowOff>
    </xdr:from>
    <xdr:to>
      <xdr:col>10</xdr:col>
      <xdr:colOff>335280</xdr:colOff>
      <xdr:row>17</xdr:row>
      <xdr:rowOff>125730</xdr:rowOff>
    </xdr:to>
    <xdr:graphicFrame macro="">
      <xdr:nvGraphicFramePr>
        <xdr:cNvPr id="2" name="Chart 1">
          <a:extLst>
            <a:ext uri="{FF2B5EF4-FFF2-40B4-BE49-F238E27FC236}">
              <a16:creationId xmlns:a16="http://schemas.microsoft.com/office/drawing/2014/main" id="{FF088352-5427-B2C5-533C-2D451BB3DDE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10</xdr:col>
      <xdr:colOff>472440</xdr:colOff>
      <xdr:row>0</xdr:row>
      <xdr:rowOff>91440</xdr:rowOff>
    </xdr:from>
    <xdr:to>
      <xdr:col>13</xdr:col>
      <xdr:colOff>472440</xdr:colOff>
      <xdr:row>14</xdr:row>
      <xdr:rowOff>112395</xdr:rowOff>
    </xdr:to>
    <mc:AlternateContent xmlns:mc="http://schemas.openxmlformats.org/markup-compatibility/2006">
      <mc:Choice xmlns:a14="http://schemas.microsoft.com/office/drawing/2010/main" Requires="a14">
        <xdr:graphicFrame macro="">
          <xdr:nvGraphicFramePr>
            <xdr:cNvPr id="4" name="Region">
              <a:extLst>
                <a:ext uri="{FF2B5EF4-FFF2-40B4-BE49-F238E27FC236}">
                  <a16:creationId xmlns:a16="http://schemas.microsoft.com/office/drawing/2014/main" id="{C1894130-4E96-E734-1C46-A4E35CFF27C8}"/>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7170420" y="91440"/>
              <a:ext cx="1828800" cy="2581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2</xdr:col>
      <xdr:colOff>205740</xdr:colOff>
      <xdr:row>0</xdr:row>
      <xdr:rowOff>41910</xdr:rowOff>
    </xdr:from>
    <xdr:to>
      <xdr:col>12</xdr:col>
      <xdr:colOff>228600</xdr:colOff>
      <xdr:row>19</xdr:row>
      <xdr:rowOff>7620</xdr:rowOff>
    </xdr:to>
    <xdr:graphicFrame macro="">
      <xdr:nvGraphicFramePr>
        <xdr:cNvPr id="2" name="Chart 1">
          <a:extLst>
            <a:ext uri="{FF2B5EF4-FFF2-40B4-BE49-F238E27FC236}">
              <a16:creationId xmlns:a16="http://schemas.microsoft.com/office/drawing/2014/main" id="{4F35119E-319C-7DD4-9930-868FA4C6972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45720</xdr:colOff>
      <xdr:row>8</xdr:row>
      <xdr:rowOff>15240</xdr:rowOff>
    </xdr:from>
    <xdr:to>
      <xdr:col>2</xdr:col>
      <xdr:colOff>53340</xdr:colOff>
      <xdr:row>22</xdr:row>
      <xdr:rowOff>36195</xdr:rowOff>
    </xdr:to>
    <mc:AlternateContent xmlns:mc="http://schemas.openxmlformats.org/markup-compatibility/2006">
      <mc:Choice xmlns:a14="http://schemas.microsoft.com/office/drawing/2010/main" Requires="a14">
        <xdr:graphicFrame macro="">
          <xdr:nvGraphicFramePr>
            <xdr:cNvPr id="3" name="Product">
              <a:extLst>
                <a:ext uri="{FF2B5EF4-FFF2-40B4-BE49-F238E27FC236}">
                  <a16:creationId xmlns:a16="http://schemas.microsoft.com/office/drawing/2014/main" id="{16D54324-F71A-B3CF-69E2-92D9CC1B07E3}"/>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dr:sp macro="" textlink="">
          <xdr:nvSpPr>
            <xdr:cNvPr id="0" name=""/>
            <xdr:cNvSpPr>
              <a:spLocks noTextEdit="1"/>
            </xdr:cNvSpPr>
          </xdr:nvSpPr>
          <xdr:spPr>
            <a:xfrm>
              <a:off x="45720" y="1478280"/>
              <a:ext cx="1828800" cy="2581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2</xdr:col>
      <xdr:colOff>220980</xdr:colOff>
      <xdr:row>0</xdr:row>
      <xdr:rowOff>64770</xdr:rowOff>
    </xdr:from>
    <xdr:to>
      <xdr:col>9</xdr:col>
      <xdr:colOff>525780</xdr:colOff>
      <xdr:row>15</xdr:row>
      <xdr:rowOff>64770</xdr:rowOff>
    </xdr:to>
    <xdr:graphicFrame macro="">
      <xdr:nvGraphicFramePr>
        <xdr:cNvPr id="2" name="Chart 1">
          <a:extLst>
            <a:ext uri="{FF2B5EF4-FFF2-40B4-BE49-F238E27FC236}">
              <a16:creationId xmlns:a16="http://schemas.microsoft.com/office/drawing/2014/main" id="{29315C9C-84F6-FEA4-AEDB-8529A6DBACD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60960</xdr:colOff>
      <xdr:row>8</xdr:row>
      <xdr:rowOff>99060</xdr:rowOff>
    </xdr:from>
    <xdr:to>
      <xdr:col>2</xdr:col>
      <xdr:colOff>68580</xdr:colOff>
      <xdr:row>22</xdr:row>
      <xdr:rowOff>120015</xdr:rowOff>
    </xdr:to>
    <mc:AlternateContent xmlns:mc="http://schemas.openxmlformats.org/markup-compatibility/2006">
      <mc:Choice xmlns:a14="http://schemas.microsoft.com/office/drawing/2010/main" Requires="a14">
        <xdr:graphicFrame macro="">
          <xdr:nvGraphicFramePr>
            <xdr:cNvPr id="3" name="Salesperson">
              <a:extLst>
                <a:ext uri="{FF2B5EF4-FFF2-40B4-BE49-F238E27FC236}">
                  <a16:creationId xmlns:a16="http://schemas.microsoft.com/office/drawing/2014/main" id="{DE61B95A-BD8C-75D4-2C71-9977EEE2743D}"/>
                </a:ext>
              </a:extLst>
            </xdr:cNvPr>
            <xdr:cNvGraphicFramePr/>
          </xdr:nvGraphicFramePr>
          <xdr:xfrm>
            <a:off x="0" y="0"/>
            <a:ext cx="0" cy="0"/>
          </xdr:xfrm>
          <a:graphic>
            <a:graphicData uri="http://schemas.microsoft.com/office/drawing/2010/slicer">
              <sle:slicer xmlns:sle="http://schemas.microsoft.com/office/drawing/2010/slicer" name="Salesperson"/>
            </a:graphicData>
          </a:graphic>
        </xdr:graphicFrame>
      </mc:Choice>
      <mc:Fallback>
        <xdr:sp macro="" textlink="">
          <xdr:nvSpPr>
            <xdr:cNvPr id="0" name=""/>
            <xdr:cNvSpPr>
              <a:spLocks noTextEdit="1"/>
            </xdr:cNvSpPr>
          </xdr:nvSpPr>
          <xdr:spPr>
            <a:xfrm>
              <a:off x="60960" y="1562100"/>
              <a:ext cx="1828800" cy="2581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2</xdr:col>
      <xdr:colOff>419100</xdr:colOff>
      <xdr:row>1</xdr:row>
      <xdr:rowOff>26670</xdr:rowOff>
    </xdr:from>
    <xdr:to>
      <xdr:col>10</xdr:col>
      <xdr:colOff>114300</xdr:colOff>
      <xdr:row>16</xdr:row>
      <xdr:rowOff>26670</xdr:rowOff>
    </xdr:to>
    <xdr:graphicFrame macro="">
      <xdr:nvGraphicFramePr>
        <xdr:cNvPr id="2" name="Chart 1">
          <a:extLst>
            <a:ext uri="{FF2B5EF4-FFF2-40B4-BE49-F238E27FC236}">
              <a16:creationId xmlns:a16="http://schemas.microsoft.com/office/drawing/2014/main" id="{97DECD0C-104E-4FE6-3187-7D3FDA9F956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216690</xdr:colOff>
      <xdr:row>9</xdr:row>
      <xdr:rowOff>134447</xdr:rowOff>
    </xdr:from>
    <xdr:to>
      <xdr:col>2</xdr:col>
      <xdr:colOff>498630</xdr:colOff>
      <xdr:row>18</xdr:row>
      <xdr:rowOff>26715</xdr:rowOff>
    </xdr:to>
    <mc:AlternateContent xmlns:mc="http://schemas.openxmlformats.org/markup-compatibility/2006">
      <mc:Choice xmlns:a14="http://schemas.microsoft.com/office/drawing/2010/main" Requires="a14">
        <xdr:graphicFrame macro="">
          <xdr:nvGraphicFramePr>
            <xdr:cNvPr id="6" name="Region 1">
              <a:extLst>
                <a:ext uri="{FF2B5EF4-FFF2-40B4-BE49-F238E27FC236}">
                  <a16:creationId xmlns:a16="http://schemas.microsoft.com/office/drawing/2014/main" id="{76BA34A8-9655-4D33-9FA4-AE686E495823}"/>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dr:sp macro="" textlink="">
          <xdr:nvSpPr>
            <xdr:cNvPr id="0" name=""/>
            <xdr:cNvSpPr>
              <a:spLocks noTextEdit="1"/>
            </xdr:cNvSpPr>
          </xdr:nvSpPr>
          <xdr:spPr>
            <a:xfrm>
              <a:off x="216690" y="1804985"/>
              <a:ext cx="1825478" cy="156280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162123</xdr:colOff>
      <xdr:row>19</xdr:row>
      <xdr:rowOff>75412</xdr:rowOff>
    </xdr:from>
    <xdr:to>
      <xdr:col>2</xdr:col>
      <xdr:colOff>451157</xdr:colOff>
      <xdr:row>26</xdr:row>
      <xdr:rowOff>75412</xdr:rowOff>
    </xdr:to>
    <mc:AlternateContent xmlns:mc="http://schemas.openxmlformats.org/markup-compatibility/2006">
      <mc:Choice xmlns:a14="http://schemas.microsoft.com/office/drawing/2010/main" Requires="a14">
        <xdr:graphicFrame macro="">
          <xdr:nvGraphicFramePr>
            <xdr:cNvPr id="7" name="Product 1">
              <a:extLst>
                <a:ext uri="{FF2B5EF4-FFF2-40B4-BE49-F238E27FC236}">
                  <a16:creationId xmlns:a16="http://schemas.microsoft.com/office/drawing/2014/main" id="{88A17F13-5D82-4E9C-8F07-A08C6A86CFE7}"/>
                </a:ext>
              </a:extLst>
            </xdr:cNvPr>
            <xdr:cNvGraphicFramePr/>
          </xdr:nvGraphicFramePr>
          <xdr:xfrm>
            <a:off x="0" y="0"/>
            <a:ext cx="0" cy="0"/>
          </xdr:xfrm>
          <a:graphic>
            <a:graphicData uri="http://schemas.microsoft.com/office/drawing/2010/slicer">
              <sle:slicer xmlns:sle="http://schemas.microsoft.com/office/drawing/2010/slicer" name="Product 1"/>
            </a:graphicData>
          </a:graphic>
        </xdr:graphicFrame>
      </mc:Choice>
      <mc:Fallback>
        <xdr:sp macro="" textlink="">
          <xdr:nvSpPr>
            <xdr:cNvPr id="0" name=""/>
            <xdr:cNvSpPr>
              <a:spLocks noTextEdit="1"/>
            </xdr:cNvSpPr>
          </xdr:nvSpPr>
          <xdr:spPr>
            <a:xfrm>
              <a:off x="162123" y="3602104"/>
              <a:ext cx="1832572" cy="129930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182094</xdr:colOff>
      <xdr:row>27</xdr:row>
      <xdr:rowOff>175963</xdr:rowOff>
    </xdr:from>
    <xdr:to>
      <xdr:col>2</xdr:col>
      <xdr:colOff>468062</xdr:colOff>
      <xdr:row>36</xdr:row>
      <xdr:rowOff>130243</xdr:rowOff>
    </xdr:to>
    <mc:AlternateContent xmlns:mc="http://schemas.openxmlformats.org/markup-compatibility/2006">
      <mc:Choice xmlns:a14="http://schemas.microsoft.com/office/drawing/2010/main" Requires="a14">
        <xdr:graphicFrame macro="">
          <xdr:nvGraphicFramePr>
            <xdr:cNvPr id="8" name="Salesperson 1">
              <a:extLst>
                <a:ext uri="{FF2B5EF4-FFF2-40B4-BE49-F238E27FC236}">
                  <a16:creationId xmlns:a16="http://schemas.microsoft.com/office/drawing/2014/main" id="{CA8BB3BF-0CF4-4CCB-A21D-77A9EDDB56D5}"/>
                </a:ext>
              </a:extLst>
            </xdr:cNvPr>
            <xdr:cNvGraphicFramePr/>
          </xdr:nvGraphicFramePr>
          <xdr:xfrm>
            <a:off x="0" y="0"/>
            <a:ext cx="0" cy="0"/>
          </xdr:xfrm>
          <a:graphic>
            <a:graphicData uri="http://schemas.microsoft.com/office/drawing/2010/slicer">
              <sle:slicer xmlns:sle="http://schemas.microsoft.com/office/drawing/2010/slicer" name="Salesperson 1"/>
            </a:graphicData>
          </a:graphic>
        </xdr:graphicFrame>
      </mc:Choice>
      <mc:Fallback>
        <xdr:sp macro="" textlink="">
          <xdr:nvSpPr>
            <xdr:cNvPr id="0" name=""/>
            <xdr:cNvSpPr>
              <a:spLocks noTextEdit="1"/>
            </xdr:cNvSpPr>
          </xdr:nvSpPr>
          <xdr:spPr>
            <a:xfrm>
              <a:off x="182094" y="5187578"/>
              <a:ext cx="1829506" cy="162481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607383</xdr:colOff>
      <xdr:row>2</xdr:row>
      <xdr:rowOff>171758</xdr:rowOff>
    </xdr:from>
    <xdr:to>
      <xdr:col>6</xdr:col>
      <xdr:colOff>361750</xdr:colOff>
      <xdr:row>7</xdr:row>
      <xdr:rowOff>166415</xdr:rowOff>
    </xdr:to>
    <xdr:sp macro="" textlink="$F$5">
      <xdr:nvSpPr>
        <xdr:cNvPr id="12" name="Rectangle 11">
          <a:extLst>
            <a:ext uri="{FF2B5EF4-FFF2-40B4-BE49-F238E27FC236}">
              <a16:creationId xmlns:a16="http://schemas.microsoft.com/office/drawing/2014/main" id="{AEF84219-57BF-61C6-CE5E-5921F140EC47}"/>
            </a:ext>
          </a:extLst>
        </xdr:cNvPr>
        <xdr:cNvSpPr/>
      </xdr:nvSpPr>
      <xdr:spPr>
        <a:xfrm>
          <a:off x="2770762" y="539620"/>
          <a:ext cx="1698781" cy="914312"/>
        </a:xfrm>
        <a:prstGeom prst="rect">
          <a:avLst/>
        </a:prstGeom>
        <a:solidFill>
          <a:schemeClr val="accent1">
            <a:lumMod val="40000"/>
            <a:lumOff val="60000"/>
          </a:schemeClr>
        </a:solidFill>
        <a:ln>
          <a:noFill/>
        </a:ln>
      </xdr:spPr>
      <xdr:style>
        <a:lnRef idx="2">
          <a:schemeClr val="accent2">
            <a:shade val="15000"/>
          </a:schemeClr>
        </a:lnRef>
        <a:fillRef idx="1">
          <a:schemeClr val="accent2"/>
        </a:fillRef>
        <a:effectRef idx="0">
          <a:schemeClr val="accent2"/>
        </a:effectRef>
        <a:fontRef idx="minor">
          <a:schemeClr val="lt1"/>
        </a:fontRef>
      </xdr:style>
      <xdr:txBody>
        <a:bodyPr vertOverflow="clip" horzOverflow="clip" rtlCol="0" anchor="t"/>
        <a:lstStyle/>
        <a:p>
          <a:pPr algn="ctr"/>
          <a:r>
            <a:rPr lang="en-IN" sz="1100">
              <a:solidFill>
                <a:schemeClr val="lt1"/>
              </a:solidFill>
              <a:effectLst/>
              <a:latin typeface="+mn-lt"/>
              <a:ea typeface="+mn-ea"/>
              <a:cs typeface="+mn-cs"/>
            </a:rPr>
            <a:t>💰 </a:t>
          </a:r>
          <a:r>
            <a:rPr lang="en-US" sz="1100" b="0" i="0" u="sng">
              <a:solidFill>
                <a:schemeClr val="tx1"/>
              </a:solidFill>
              <a:effectLst>
                <a:outerShdw blurRad="38100" dist="19050" dir="2700000" algn="tl" rotWithShape="0">
                  <a:schemeClr val="dk1">
                    <a:alpha val="40000"/>
                  </a:schemeClr>
                </a:outerShdw>
              </a:effectLst>
              <a:latin typeface="+mn-lt"/>
              <a:ea typeface="+mn-ea"/>
              <a:cs typeface="+mn-cs"/>
            </a:rPr>
            <a:t>Total</a:t>
          </a:r>
          <a:r>
            <a:rPr lang="en-US" sz="1100" b="0" i="0" u="sng" baseline="0">
              <a:solidFill>
                <a:schemeClr val="tx1"/>
              </a:solidFill>
              <a:effectLst>
                <a:outerShdw blurRad="38100" dist="19050" dir="2700000" algn="tl" rotWithShape="0">
                  <a:schemeClr val="dk1">
                    <a:alpha val="40000"/>
                  </a:schemeClr>
                </a:outerShdw>
              </a:effectLst>
              <a:latin typeface="+mn-lt"/>
              <a:ea typeface="+mn-ea"/>
              <a:cs typeface="+mn-cs"/>
            </a:rPr>
            <a:t> Revenue</a:t>
          </a:r>
        </a:p>
        <a:p>
          <a:pPr algn="ctr"/>
          <a:fld id="{10131193-B9DB-4A3A-8B7B-F175BE3482B8}" type="TxLink">
            <a:rPr lang="en-US" sz="1800" b="1" i="0" u="none" strike="noStrike" cap="none" spc="0" baseline="0">
              <a:ln w="0"/>
              <a:solidFill>
                <a:srgbClr val="000000"/>
              </a:solidFill>
              <a:effectLst>
                <a:outerShdw blurRad="38100" dist="19050" dir="2700000" algn="tl" rotWithShape="0">
                  <a:schemeClr val="dk1">
                    <a:alpha val="40000"/>
                  </a:schemeClr>
                </a:outerShdw>
              </a:effectLst>
              <a:latin typeface="Aptos Narrow"/>
            </a:rPr>
            <a:t>₹ 10,65,000</a:t>
          </a:fld>
          <a:endParaRPr lang="en-IN" sz="1800" b="1" cap="none" spc="0">
            <a:ln w="0"/>
            <a:solidFill>
              <a:schemeClr val="tx1"/>
            </a:solidFill>
            <a:effectLst>
              <a:outerShdw blurRad="38100" dist="19050" dir="2700000" algn="tl" rotWithShape="0">
                <a:schemeClr val="dk1">
                  <a:alpha val="40000"/>
                </a:schemeClr>
              </a:outerShdw>
            </a:effectLst>
          </a:endParaRPr>
        </a:p>
      </xdr:txBody>
    </xdr:sp>
    <xdr:clientData/>
  </xdr:twoCellAnchor>
  <xdr:twoCellAnchor>
    <xdr:from>
      <xdr:col>7</xdr:col>
      <xdr:colOff>626504</xdr:colOff>
      <xdr:row>3</xdr:row>
      <xdr:rowOff>0</xdr:rowOff>
    </xdr:from>
    <xdr:to>
      <xdr:col>10</xdr:col>
      <xdr:colOff>595588</xdr:colOff>
      <xdr:row>8</xdr:row>
      <xdr:rowOff>8759</xdr:rowOff>
    </xdr:to>
    <xdr:sp macro="" textlink="$J$5">
      <xdr:nvSpPr>
        <xdr:cNvPr id="13" name="Rectangle 12">
          <a:extLst>
            <a:ext uri="{FF2B5EF4-FFF2-40B4-BE49-F238E27FC236}">
              <a16:creationId xmlns:a16="http://schemas.microsoft.com/office/drawing/2014/main" id="{C033BDF1-A11D-437D-B4F6-9650EC70A5FD}"/>
            </a:ext>
          </a:extLst>
        </xdr:cNvPr>
        <xdr:cNvSpPr/>
      </xdr:nvSpPr>
      <xdr:spPr>
        <a:xfrm>
          <a:off x="5347401" y="551793"/>
          <a:ext cx="1843428" cy="928414"/>
        </a:xfrm>
        <a:prstGeom prst="rect">
          <a:avLst/>
        </a:prstGeom>
        <a:solidFill>
          <a:schemeClr val="accent1">
            <a:lumMod val="40000"/>
            <a:lumOff val="60000"/>
          </a:schemeClr>
        </a:solidFill>
        <a:ln>
          <a:noFill/>
        </a:ln>
      </xdr:spPr>
      <xdr:style>
        <a:lnRef idx="2">
          <a:schemeClr val="accent2">
            <a:shade val="15000"/>
          </a:schemeClr>
        </a:lnRef>
        <a:fillRef idx="1">
          <a:schemeClr val="accent2"/>
        </a:fillRef>
        <a:effectRef idx="0">
          <a:schemeClr val="accent2"/>
        </a:effectRef>
        <a:fontRef idx="minor">
          <a:schemeClr val="lt1"/>
        </a:fontRef>
      </xdr:style>
      <xdr:txBody>
        <a:bodyPr vertOverflow="clip" horzOverflow="clip" rtlCol="0" anchor="t"/>
        <a:lstStyle/>
        <a:p>
          <a:pPr algn="ctr"/>
          <a:r>
            <a:rPr lang="en-IN" sz="1100">
              <a:solidFill>
                <a:schemeClr val="tx1"/>
              </a:solidFill>
              <a:effectLst/>
              <a:latin typeface="+mn-lt"/>
              <a:ea typeface="+mn-ea"/>
              <a:cs typeface="+mn-cs"/>
            </a:rPr>
            <a:t>📦</a:t>
          </a:r>
          <a:r>
            <a:rPr lang="en-US" sz="1100" b="0" i="0" u="sng">
              <a:solidFill>
                <a:schemeClr val="tx1"/>
              </a:solidFill>
              <a:effectLst>
                <a:outerShdw blurRad="38100" dist="19050" dir="2700000" algn="tl" rotWithShape="0">
                  <a:schemeClr val="dk1">
                    <a:alpha val="40000"/>
                  </a:schemeClr>
                </a:outerShdw>
              </a:effectLst>
              <a:latin typeface="+mn-lt"/>
              <a:ea typeface="+mn-ea"/>
              <a:cs typeface="+mn-cs"/>
            </a:rPr>
            <a:t>Total Units</a:t>
          </a:r>
        </a:p>
        <a:p>
          <a:pPr algn="ctr"/>
          <a:fld id="{ADC69FDF-D6EB-4A86-B975-01EE6962C051}" type="TxLink">
            <a:rPr lang="en-US" sz="1800" b="1" i="0" u="none" strike="noStrike" cap="none" spc="0">
              <a:ln w="0"/>
              <a:solidFill>
                <a:srgbClr val="000000"/>
              </a:solidFill>
              <a:effectLst>
                <a:outerShdw blurRad="38100" dist="19050" dir="2700000" algn="tl" rotWithShape="0">
                  <a:schemeClr val="dk1">
                    <a:alpha val="40000"/>
                  </a:schemeClr>
                </a:outerShdw>
              </a:effectLst>
              <a:latin typeface="Aptos Narrow"/>
            </a:rPr>
            <a:t>43</a:t>
          </a:fld>
          <a:endParaRPr lang="en-US" sz="1800" b="1" i="0" u="none" strike="noStrike" cap="none" spc="0" baseline="0">
            <a:ln w="0"/>
            <a:solidFill>
              <a:schemeClr val="tx1"/>
            </a:solidFill>
            <a:effectLst>
              <a:outerShdw blurRad="38100" dist="19050" dir="2700000" algn="tl" rotWithShape="0">
                <a:schemeClr val="dk1">
                  <a:alpha val="40000"/>
                </a:schemeClr>
              </a:outerShdw>
            </a:effectLst>
            <a:latin typeface="Aptos Narrow"/>
          </a:endParaRPr>
        </a:p>
      </xdr:txBody>
    </xdr:sp>
    <xdr:clientData/>
  </xdr:twoCellAnchor>
  <xdr:twoCellAnchor>
    <xdr:from>
      <xdr:col>12</xdr:col>
      <xdr:colOff>29781</xdr:colOff>
      <xdr:row>3</xdr:row>
      <xdr:rowOff>8760</xdr:rowOff>
    </xdr:from>
    <xdr:to>
      <xdr:col>15</xdr:col>
      <xdr:colOff>17517</xdr:colOff>
      <xdr:row>7</xdr:row>
      <xdr:rowOff>175174</xdr:rowOff>
    </xdr:to>
    <xdr:sp macro="" textlink="$N$5">
      <xdr:nvSpPr>
        <xdr:cNvPr id="14" name="Rectangle 13">
          <a:extLst>
            <a:ext uri="{FF2B5EF4-FFF2-40B4-BE49-F238E27FC236}">
              <a16:creationId xmlns:a16="http://schemas.microsoft.com/office/drawing/2014/main" id="{FC4A1333-BAD0-410C-95BE-64D3C79D23CF}"/>
            </a:ext>
          </a:extLst>
        </xdr:cNvPr>
        <xdr:cNvSpPr/>
      </xdr:nvSpPr>
      <xdr:spPr>
        <a:xfrm>
          <a:off x="7851229" y="560553"/>
          <a:ext cx="1862081" cy="902138"/>
        </a:xfrm>
        <a:prstGeom prst="rect">
          <a:avLst/>
        </a:prstGeom>
        <a:solidFill>
          <a:schemeClr val="accent1">
            <a:lumMod val="40000"/>
            <a:lumOff val="60000"/>
          </a:schemeClr>
        </a:solidFill>
        <a:ln>
          <a:noFill/>
        </a:ln>
      </xdr:spPr>
      <xdr:style>
        <a:lnRef idx="2">
          <a:schemeClr val="accent2">
            <a:shade val="15000"/>
          </a:schemeClr>
        </a:lnRef>
        <a:fillRef idx="1">
          <a:schemeClr val="accent2"/>
        </a:fillRef>
        <a:effectRef idx="0">
          <a:schemeClr val="accent2"/>
        </a:effectRef>
        <a:fontRef idx="minor">
          <a:schemeClr val="lt1"/>
        </a:fontRef>
      </xdr:style>
      <xdr:txBody>
        <a:bodyPr vertOverflow="clip" horzOverflow="clip" rtlCol="0" anchor="t"/>
        <a:lstStyle/>
        <a:p>
          <a:pPr algn="ctr"/>
          <a:r>
            <a:rPr lang="en-IN" sz="1100">
              <a:solidFill>
                <a:schemeClr val="tx1"/>
              </a:solidFill>
              <a:effectLst/>
              <a:latin typeface="+mn-lt"/>
              <a:ea typeface="+mn-ea"/>
              <a:cs typeface="+mn-cs"/>
            </a:rPr>
            <a:t>📊</a:t>
          </a:r>
          <a:r>
            <a:rPr lang="en-US" sz="1100" b="0" i="0" u="sng" baseline="0">
              <a:solidFill>
                <a:schemeClr val="tx1"/>
              </a:solidFill>
              <a:effectLst>
                <a:outerShdw blurRad="38100" dist="19050" dir="2700000" algn="tl" rotWithShape="0">
                  <a:schemeClr val="dk1">
                    <a:alpha val="40000"/>
                  </a:schemeClr>
                </a:outerShdw>
              </a:effectLst>
              <a:latin typeface="+mn-lt"/>
              <a:ea typeface="+mn-ea"/>
              <a:cs typeface="+mn-cs"/>
            </a:rPr>
            <a:t>Average Sales</a:t>
          </a:r>
          <a:endParaRPr lang="en-US" sz="1100">
            <a:solidFill>
              <a:schemeClr val="tx1"/>
            </a:solidFill>
            <a:effectLst/>
            <a:latin typeface="+mn-lt"/>
            <a:ea typeface="+mn-ea"/>
            <a:cs typeface="+mn-cs"/>
          </a:endParaRPr>
        </a:p>
        <a:p>
          <a:pPr algn="ctr"/>
          <a:fld id="{D687FF80-E490-4403-92D8-7E058852B9C7}" type="TxLink">
            <a:rPr lang="en-US" sz="1800" b="1" i="0" u="none" strike="noStrike" cap="none" spc="0" baseline="0">
              <a:ln w="0"/>
              <a:solidFill>
                <a:srgbClr val="000000"/>
              </a:solidFill>
              <a:effectLst>
                <a:outerShdw blurRad="38100" dist="19050" dir="2700000" algn="tl" rotWithShape="0">
                  <a:schemeClr val="dk1">
                    <a:alpha val="40000"/>
                  </a:schemeClr>
                </a:outerShdw>
              </a:effectLst>
              <a:latin typeface="Aptos Narrow"/>
            </a:rPr>
            <a:t>₹ 1,52,143</a:t>
          </a:fld>
          <a:endParaRPr lang="en-US" sz="1800" b="1" i="0" u="none" strike="noStrike" cap="none" spc="0" baseline="0">
            <a:ln w="0"/>
            <a:solidFill>
              <a:schemeClr val="tx1"/>
            </a:solidFill>
            <a:effectLst>
              <a:outerShdw blurRad="38100" dist="19050" dir="2700000" algn="tl" rotWithShape="0">
                <a:schemeClr val="dk1">
                  <a:alpha val="40000"/>
                </a:schemeClr>
              </a:outerShdw>
            </a:effectLst>
            <a:latin typeface="Aptos Narrow"/>
          </a:endParaRPr>
        </a:p>
      </xdr:txBody>
    </xdr:sp>
    <xdr:clientData/>
  </xdr:twoCellAnchor>
  <xdr:twoCellAnchor>
    <xdr:from>
      <xdr:col>3</xdr:col>
      <xdr:colOff>87586</xdr:colOff>
      <xdr:row>10</xdr:row>
      <xdr:rowOff>17517</xdr:rowOff>
    </xdr:from>
    <xdr:to>
      <xdr:col>10</xdr:col>
      <xdr:colOff>332827</xdr:colOff>
      <xdr:row>25</xdr:row>
      <xdr:rowOff>1751</xdr:rowOff>
    </xdr:to>
    <xdr:graphicFrame macro="">
      <xdr:nvGraphicFramePr>
        <xdr:cNvPr id="15" name="Chart 14">
          <a:extLst>
            <a:ext uri="{FF2B5EF4-FFF2-40B4-BE49-F238E27FC236}">
              <a16:creationId xmlns:a16="http://schemas.microsoft.com/office/drawing/2014/main" id="{BC6B8FC0-9E66-44D3-B088-2D6EDA3D851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17516</xdr:colOff>
      <xdr:row>10</xdr:row>
      <xdr:rowOff>35035</xdr:rowOff>
    </xdr:from>
    <xdr:to>
      <xdr:col>18</xdr:col>
      <xdr:colOff>297792</xdr:colOff>
      <xdr:row>25</xdr:row>
      <xdr:rowOff>19269</xdr:rowOff>
    </xdr:to>
    <xdr:graphicFrame macro="">
      <xdr:nvGraphicFramePr>
        <xdr:cNvPr id="16" name="Chart 15">
          <a:extLst>
            <a:ext uri="{FF2B5EF4-FFF2-40B4-BE49-F238E27FC236}">
              <a16:creationId xmlns:a16="http://schemas.microsoft.com/office/drawing/2014/main" id="{3211482D-660D-41D7-A389-43162FF4ECD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96345</xdr:colOff>
      <xdr:row>25</xdr:row>
      <xdr:rowOff>166414</xdr:rowOff>
    </xdr:from>
    <xdr:to>
      <xdr:col>10</xdr:col>
      <xdr:colOff>341586</xdr:colOff>
      <xdr:row>40</xdr:row>
      <xdr:rowOff>150649</xdr:rowOff>
    </xdr:to>
    <xdr:graphicFrame macro="">
      <xdr:nvGraphicFramePr>
        <xdr:cNvPr id="17" name="Chart 16">
          <a:extLst>
            <a:ext uri="{FF2B5EF4-FFF2-40B4-BE49-F238E27FC236}">
              <a16:creationId xmlns:a16="http://schemas.microsoft.com/office/drawing/2014/main" id="{12DC8226-E9D9-4483-8788-E24EE9EE601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613103</xdr:colOff>
      <xdr:row>26</xdr:row>
      <xdr:rowOff>43792</xdr:rowOff>
    </xdr:from>
    <xdr:to>
      <xdr:col>18</xdr:col>
      <xdr:colOff>236482</xdr:colOff>
      <xdr:row>41</xdr:row>
      <xdr:rowOff>8758</xdr:rowOff>
    </xdr:to>
    <xdr:graphicFrame macro="">
      <xdr:nvGraphicFramePr>
        <xdr:cNvPr id="18" name="Chart 17">
          <a:extLst>
            <a:ext uri="{FF2B5EF4-FFF2-40B4-BE49-F238E27FC236}">
              <a16:creationId xmlns:a16="http://schemas.microsoft.com/office/drawing/2014/main" id="{D5950569-A79D-41E0-9B81-45E364CEB2E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rudula" refreshedDate="46145.527038425927" createdVersion="8" refreshedVersion="8" minRefreshableVersion="3" recordCount="7" xr:uid="{B3C3B338-8E0F-46EC-9369-77950EB8E3EF}">
  <cacheSource type="worksheet">
    <worksheetSource name="Table2"/>
  </cacheSource>
  <cacheFields count="6">
    <cacheField name="Date" numFmtId="14">
      <sharedItems containsSemiMixedTypes="0" containsNonDate="0" containsDate="1" containsString="0" minDate="2025-01-01T00:00:00" maxDate="2025-01-08T00:00:00" count="7">
        <d v="2025-01-01T00:00:00"/>
        <d v="2025-01-02T00:00:00"/>
        <d v="2025-01-03T00:00:00"/>
        <d v="2025-01-04T00:00:00"/>
        <d v="2025-01-05T00:00:00"/>
        <d v="2025-01-06T00:00:00"/>
        <d v="2025-01-07T00:00:00"/>
      </sharedItems>
    </cacheField>
    <cacheField name="Product" numFmtId="0">
      <sharedItems count="3">
        <s v="Laptop"/>
        <s v="Mobile"/>
        <s v="Tablet"/>
      </sharedItems>
    </cacheField>
    <cacheField name="Region" numFmtId="0">
      <sharedItems count="4">
        <s v="North"/>
        <s v="South"/>
        <s v="East"/>
        <s v="West"/>
      </sharedItems>
    </cacheField>
    <cacheField name="Salesperson" numFmtId="0">
      <sharedItems count="4">
        <s v="Amit"/>
        <s v="Ravi"/>
        <s v="Neha"/>
        <s v="Priya"/>
      </sharedItems>
    </cacheField>
    <cacheField name="Units Sold" numFmtId="0">
      <sharedItems containsSemiMixedTypes="0" containsString="0" containsNumber="1" containsInteger="1" minValue="3" maxValue="10"/>
    </cacheField>
    <cacheField name="Revenue" numFmtId="0">
      <sharedItems containsSemiMixedTypes="0" containsString="0" containsNumber="1" containsInteger="1" minValue="90000" maxValue="250000"/>
    </cacheField>
  </cacheFields>
  <extLst>
    <ext xmlns:x14="http://schemas.microsoft.com/office/spreadsheetml/2009/9/main" uri="{725AE2AE-9491-48be-B2B4-4EB974FC3084}">
      <x14:pivotCacheDefinition pivotCacheId="119119513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
  <r>
    <x v="0"/>
    <x v="0"/>
    <x v="0"/>
    <x v="0"/>
    <n v="5"/>
    <n v="250000"/>
  </r>
  <r>
    <x v="1"/>
    <x v="1"/>
    <x v="1"/>
    <x v="1"/>
    <n v="10"/>
    <n v="150000"/>
  </r>
  <r>
    <x v="2"/>
    <x v="2"/>
    <x v="2"/>
    <x v="2"/>
    <n v="7"/>
    <n v="105000"/>
  </r>
  <r>
    <x v="3"/>
    <x v="0"/>
    <x v="3"/>
    <x v="3"/>
    <n v="3"/>
    <n v="150000"/>
  </r>
  <r>
    <x v="4"/>
    <x v="1"/>
    <x v="0"/>
    <x v="0"/>
    <n v="8"/>
    <n v="120000"/>
  </r>
  <r>
    <x v="5"/>
    <x v="2"/>
    <x v="1"/>
    <x v="1"/>
    <n v="6"/>
    <n v="90000"/>
  </r>
  <r>
    <x v="6"/>
    <x v="0"/>
    <x v="2"/>
    <x v="2"/>
    <n v="4"/>
    <n v="20000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DC9DB93-54BF-4844-8F31-AEF2C4F4A99C}" name="PivotTable1" cacheId="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8">
  <location ref="A3:B8" firstHeaderRow="1" firstDataRow="1" firstDataCol="1"/>
  <pivotFields count="6">
    <pivotField numFmtId="14" showAll="0"/>
    <pivotField showAll="0">
      <items count="4">
        <item x="0"/>
        <item x="1"/>
        <item x="2"/>
        <item t="default"/>
      </items>
    </pivotField>
    <pivotField axis="axisRow" showAll="0">
      <items count="5">
        <item x="2"/>
        <item x="0"/>
        <item x="1"/>
        <item x="3"/>
        <item t="default"/>
      </items>
    </pivotField>
    <pivotField showAll="0">
      <items count="5">
        <item x="0"/>
        <item x="2"/>
        <item x="3"/>
        <item x="1"/>
        <item t="default"/>
      </items>
    </pivotField>
    <pivotField showAll="0"/>
    <pivotField dataField="1" showAll="0"/>
  </pivotFields>
  <rowFields count="1">
    <field x="2"/>
  </rowFields>
  <rowItems count="5">
    <i>
      <x/>
    </i>
    <i>
      <x v="1"/>
    </i>
    <i>
      <x v="2"/>
    </i>
    <i>
      <x v="3"/>
    </i>
    <i t="grand">
      <x/>
    </i>
  </rowItems>
  <colItems count="1">
    <i/>
  </colItems>
  <dataFields count="1">
    <dataField name="Sum of Revenue" fld="5" baseField="0" baseItem="0"/>
  </dataFields>
  <chartFormats count="2">
    <chartFormat chart="7" format="0"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5FBD62B-8DEE-49C8-A7CA-4BBAF33480F2}" name="PivotTable2" cacheId="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location ref="A3:B7" firstHeaderRow="1" firstDataRow="1" firstDataCol="1"/>
  <pivotFields count="6">
    <pivotField numFmtId="14" showAll="0"/>
    <pivotField axis="axisRow" showAll="0">
      <items count="4">
        <item x="0"/>
        <item x="1"/>
        <item x="2"/>
        <item t="default"/>
      </items>
    </pivotField>
    <pivotField showAll="0"/>
    <pivotField showAll="0"/>
    <pivotField showAll="0"/>
    <pivotField dataField="1" showAll="0"/>
  </pivotFields>
  <rowFields count="1">
    <field x="1"/>
  </rowFields>
  <rowItems count="4">
    <i>
      <x/>
    </i>
    <i>
      <x v="1"/>
    </i>
    <i>
      <x v="2"/>
    </i>
    <i t="grand">
      <x/>
    </i>
  </rowItems>
  <colItems count="1">
    <i/>
  </colItems>
  <dataFields count="1">
    <dataField name="Sum of Revenue" fld="5" baseField="0" baseItem="0"/>
  </dataFields>
  <chartFormats count="5">
    <chartFormat chart="2" format="0" series="1">
      <pivotArea type="data" outline="0" fieldPosition="0">
        <references count="1">
          <reference field="4294967294" count="1" selected="0">
            <x v="0"/>
          </reference>
        </references>
      </pivotArea>
    </chartFormat>
    <chartFormat chart="11" format="5" series="1">
      <pivotArea type="data" outline="0" fieldPosition="0">
        <references count="1">
          <reference field="4294967294" count="1" selected="0">
            <x v="0"/>
          </reference>
        </references>
      </pivotArea>
    </chartFormat>
    <chartFormat chart="11" format="6">
      <pivotArea type="data" outline="0" fieldPosition="0">
        <references count="2">
          <reference field="4294967294" count="1" selected="0">
            <x v="0"/>
          </reference>
          <reference field="1" count="1" selected="0">
            <x v="0"/>
          </reference>
        </references>
      </pivotArea>
    </chartFormat>
    <chartFormat chart="11" format="7">
      <pivotArea type="data" outline="0" fieldPosition="0">
        <references count="2">
          <reference field="4294967294" count="1" selected="0">
            <x v="0"/>
          </reference>
          <reference field="1" count="1" selected="0">
            <x v="1"/>
          </reference>
        </references>
      </pivotArea>
    </chartFormat>
    <chartFormat chart="11" format="8">
      <pivotArea type="data" outline="0" fieldPosition="0">
        <references count="2">
          <reference field="4294967294" count="1" selected="0">
            <x v="0"/>
          </reference>
          <reference field="1"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39B5C96-648B-49B9-9B3E-D1631EC09562}" name="PivotTable3" cacheId="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A3:B8" firstHeaderRow="1" firstDataRow="1" firstDataCol="1"/>
  <pivotFields count="6">
    <pivotField numFmtId="14" showAll="0"/>
    <pivotField showAll="0"/>
    <pivotField showAll="0"/>
    <pivotField axis="axisRow" showAll="0">
      <items count="5">
        <item x="0"/>
        <item x="2"/>
        <item x="3"/>
        <item x="1"/>
        <item t="default"/>
      </items>
    </pivotField>
    <pivotField showAll="0"/>
    <pivotField dataField="1" showAll="0"/>
  </pivotFields>
  <rowFields count="1">
    <field x="3"/>
  </rowFields>
  <rowItems count="5">
    <i>
      <x/>
    </i>
    <i>
      <x v="1"/>
    </i>
    <i>
      <x v="2"/>
    </i>
    <i>
      <x v="3"/>
    </i>
    <i t="grand">
      <x/>
    </i>
  </rowItems>
  <colItems count="1">
    <i/>
  </colItems>
  <dataFields count="1">
    <dataField name="Sum of Revenue" fld="5" baseField="0" baseItem="0"/>
  </dataFields>
  <chartFormats count="2">
    <chartFormat chart="4"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3845F87-1EF8-44F6-85F9-C963CAB8B7C7}" name="PivotTable4" cacheId="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location ref="A3:B11" firstHeaderRow="1" firstDataRow="1" firstDataCol="1"/>
  <pivotFields count="6">
    <pivotField axis="axisRow" numFmtId="14" showAll="0">
      <items count="8">
        <item x="0"/>
        <item x="1"/>
        <item x="2"/>
        <item x="3"/>
        <item x="4"/>
        <item x="5"/>
        <item x="6"/>
        <item t="default"/>
      </items>
    </pivotField>
    <pivotField showAll="0"/>
    <pivotField showAll="0"/>
    <pivotField showAll="0"/>
    <pivotField showAll="0"/>
    <pivotField dataField="1" showAll="0"/>
  </pivotFields>
  <rowFields count="1">
    <field x="0"/>
  </rowFields>
  <rowItems count="8">
    <i>
      <x/>
    </i>
    <i>
      <x v="1"/>
    </i>
    <i>
      <x v="2"/>
    </i>
    <i>
      <x v="3"/>
    </i>
    <i>
      <x v="4"/>
    </i>
    <i>
      <x v="5"/>
    </i>
    <i>
      <x v="6"/>
    </i>
    <i t="grand">
      <x/>
    </i>
  </rowItems>
  <colItems count="1">
    <i/>
  </colItems>
  <dataFields count="1">
    <dataField name="Sum of Revenue" fld="5" baseField="0" baseItem="0"/>
  </dataFields>
  <chartFormats count="2">
    <chartFormat chart="8" format="0" series="1">
      <pivotArea type="data" outline="0" fieldPosition="0">
        <references count="1">
          <reference field="4294967294" count="1" selected="0">
            <x v="0"/>
          </reference>
        </references>
      </pivotArea>
    </chartFormat>
    <chartFormat chart="1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15396BAB-A436-4DF4-AF9E-E284298E5724}" sourceName="Region">
  <pivotTables>
    <pivotTable tabId="2" name="PivotTable1"/>
  </pivotTables>
  <data>
    <tabular pivotCacheId="1191195133">
      <items count="4">
        <i x="2" s="1"/>
        <i x="0" s="1"/>
        <i x="1"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61F13E2A-739F-4B33-981C-0F34F66C4093}" sourceName="Product">
  <pivotTables>
    <pivotTable tabId="3" name="PivotTable2"/>
  </pivotTables>
  <data>
    <tabular pivotCacheId="1191195133">
      <items count="3">
        <i x="0" s="1"/>
        <i x="1"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person" xr10:uid="{6C946555-A5AF-453F-A6F2-FB2B79E5F488}" sourceName="Salesperson">
  <pivotTables>
    <pivotTable tabId="4" name="PivotTable3"/>
  </pivotTables>
  <data>
    <tabular pivotCacheId="1191195133">
      <items count="4">
        <i x="0" s="1"/>
        <i x="2" s="1"/>
        <i x="3"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263EB036-BB78-4D0C-957B-DE5AFF779968}" cache="Slicer_Region" caption="Region" rowHeight="2476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xr10:uid="{59B6A00E-A59D-46C4-8D67-D3AF4F157C10}" cache="Slicer_Product" caption="Product" rowHeight="2476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alesperson" xr10:uid="{C8FBD023-4BB2-4076-86E0-917FCC97522C}" cache="Slicer_Salesperson" caption="Salesperson" rowHeight="24765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1" xr10:uid="{50B53345-1834-4E43-9E1F-C95E11A2D052}" cache="Slicer_Region" caption="Region" rowHeight="247650"/>
  <slicer name="Product 1" xr10:uid="{65A06EFD-B2FE-4272-AC28-9DE9CDB96AF5}" cache="Slicer_Product" caption="Product" rowHeight="247650"/>
  <slicer name="Salesperson 1" xr10:uid="{8C77D435-C7C0-4225-B1DA-E5B0554C91B9}" cache="Slicer_Salesperson" caption="Salesperson"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482C3C68-DAD5-43BD-9F58-063E03A54F5C}" name="Table2" displayName="Table2" ref="A1:F8" totalsRowShown="0" headerRowDxfId="0" dataDxfId="1">
  <autoFilter ref="A1:F8" xr:uid="{482C3C68-DAD5-43BD-9F58-063E03A54F5C}"/>
  <tableColumns count="6">
    <tableColumn id="1" xr3:uid="{4DB2FE3E-F9BE-40E7-B0F1-AE05F6F35430}" name="Date" dataDxfId="7"/>
    <tableColumn id="2" xr3:uid="{BA77E7E0-14D9-4E65-BA12-76530DC34D74}" name="Product" dataDxfId="6"/>
    <tableColumn id="3" xr3:uid="{2E3A853D-CBB2-447E-B86A-B8A131BB2438}" name="Region" dataDxfId="5"/>
    <tableColumn id="4" xr3:uid="{1C79FEA4-189E-46A9-AC6E-00B9CBA7355B}" name="Salesperson" dataDxfId="4"/>
    <tableColumn id="5" xr3:uid="{E094B2D3-E19D-47F0-A929-2B1CE47C1506}" name="Units Sold" dataDxfId="3"/>
    <tableColumn id="6" xr3:uid="{C7BE785A-526E-4449-8927-B1FD9EAAECF0}" name="Revenue" dataDxfId="2"/>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2" Type="http://schemas.microsoft.com/office/2007/relationships/slicer" Target="../slicers/slicer4.xml"/><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4EDB00-6F43-4272-8010-02226F56F7E6}">
  <dimension ref="A1:F8"/>
  <sheetViews>
    <sheetView workbookViewId="0">
      <selection activeCell="F1" sqref="F1:F1048576"/>
    </sheetView>
  </sheetViews>
  <sheetFormatPr defaultRowHeight="14.4" x14ac:dyDescent="0.3"/>
  <cols>
    <col min="1" max="1" width="10.33203125" bestFit="1" customWidth="1"/>
    <col min="2" max="2" width="12" bestFit="1" customWidth="1"/>
    <col min="3" max="3" width="11" bestFit="1" customWidth="1"/>
    <col min="4" max="4" width="15.6640625" bestFit="1" customWidth="1"/>
    <col min="5" max="5" width="13.88671875" bestFit="1" customWidth="1"/>
    <col min="6" max="6" width="12.44140625" bestFit="1" customWidth="1"/>
    <col min="7" max="7" width="10.33203125" customWidth="1"/>
  </cols>
  <sheetData>
    <row r="1" spans="1:6" ht="28.8" x14ac:dyDescent="0.3">
      <c r="A1" s="1" t="s">
        <v>0</v>
      </c>
      <c r="B1" s="1" t="s">
        <v>1</v>
      </c>
      <c r="C1" s="1" t="s">
        <v>2</v>
      </c>
      <c r="D1" s="1" t="s">
        <v>3</v>
      </c>
      <c r="E1" s="1" t="s">
        <v>4</v>
      </c>
      <c r="F1" s="1" t="s">
        <v>5</v>
      </c>
    </row>
    <row r="2" spans="1:6" x14ac:dyDescent="0.3">
      <c r="A2" s="2">
        <v>45658</v>
      </c>
      <c r="B2" s="3" t="s">
        <v>6</v>
      </c>
      <c r="C2" s="3" t="s">
        <v>7</v>
      </c>
      <c r="D2" s="3" t="s">
        <v>8</v>
      </c>
      <c r="E2" s="3">
        <v>5</v>
      </c>
      <c r="F2" s="3">
        <v>250000</v>
      </c>
    </row>
    <row r="3" spans="1:6" x14ac:dyDescent="0.3">
      <c r="A3" s="2">
        <v>45659</v>
      </c>
      <c r="B3" s="3" t="s">
        <v>9</v>
      </c>
      <c r="C3" s="3" t="s">
        <v>10</v>
      </c>
      <c r="D3" s="3" t="s">
        <v>11</v>
      </c>
      <c r="E3" s="3">
        <v>10</v>
      </c>
      <c r="F3" s="3">
        <v>150000</v>
      </c>
    </row>
    <row r="4" spans="1:6" x14ac:dyDescent="0.3">
      <c r="A4" s="2">
        <v>45660</v>
      </c>
      <c r="B4" s="3" t="s">
        <v>12</v>
      </c>
      <c r="C4" s="3" t="s">
        <v>13</v>
      </c>
      <c r="D4" s="3" t="s">
        <v>14</v>
      </c>
      <c r="E4" s="3">
        <v>7</v>
      </c>
      <c r="F4" s="3">
        <v>105000</v>
      </c>
    </row>
    <row r="5" spans="1:6" x14ac:dyDescent="0.3">
      <c r="A5" s="2">
        <v>45661</v>
      </c>
      <c r="B5" s="3" t="s">
        <v>6</v>
      </c>
      <c r="C5" s="3" t="s">
        <v>15</v>
      </c>
      <c r="D5" s="3" t="s">
        <v>16</v>
      </c>
      <c r="E5" s="3">
        <v>3</v>
      </c>
      <c r="F5" s="3">
        <v>150000</v>
      </c>
    </row>
    <row r="6" spans="1:6" x14ac:dyDescent="0.3">
      <c r="A6" s="2">
        <v>45662</v>
      </c>
      <c r="B6" s="3" t="s">
        <v>9</v>
      </c>
      <c r="C6" s="3" t="s">
        <v>7</v>
      </c>
      <c r="D6" s="3" t="s">
        <v>8</v>
      </c>
      <c r="E6" s="3">
        <v>8</v>
      </c>
      <c r="F6" s="3">
        <v>120000</v>
      </c>
    </row>
    <row r="7" spans="1:6" x14ac:dyDescent="0.3">
      <c r="A7" s="2">
        <v>45663</v>
      </c>
      <c r="B7" s="3" t="s">
        <v>12</v>
      </c>
      <c r="C7" s="3" t="s">
        <v>10</v>
      </c>
      <c r="D7" s="3" t="s">
        <v>11</v>
      </c>
      <c r="E7" s="3">
        <v>6</v>
      </c>
      <c r="F7" s="3">
        <v>90000</v>
      </c>
    </row>
    <row r="8" spans="1:6" x14ac:dyDescent="0.3">
      <c r="A8" s="2">
        <v>45664</v>
      </c>
      <c r="B8" s="3" t="s">
        <v>6</v>
      </c>
      <c r="C8" s="3" t="s">
        <v>13</v>
      </c>
      <c r="D8" s="3" t="s">
        <v>14</v>
      </c>
      <c r="E8" s="3">
        <v>4</v>
      </c>
      <c r="F8" s="3">
        <v>200000</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5D002D-A2EF-4FBE-B657-758ED103C08F}">
  <dimension ref="A3:B8"/>
  <sheetViews>
    <sheetView workbookViewId="0">
      <selection activeCell="P17" sqref="P17"/>
    </sheetView>
  </sheetViews>
  <sheetFormatPr defaultRowHeight="14.4" x14ac:dyDescent="0.3"/>
  <cols>
    <col min="1" max="1" width="12.44140625" bestFit="1" customWidth="1"/>
    <col min="2" max="2" width="14.109375" bestFit="1" customWidth="1"/>
  </cols>
  <sheetData>
    <row r="3" spans="1:2" x14ac:dyDescent="0.3">
      <c r="A3" s="4" t="s">
        <v>17</v>
      </c>
      <c r="B3" t="s">
        <v>19</v>
      </c>
    </row>
    <row r="4" spans="1:2" x14ac:dyDescent="0.3">
      <c r="A4" s="5" t="s">
        <v>13</v>
      </c>
      <c r="B4" s="6">
        <v>305000</v>
      </c>
    </row>
    <row r="5" spans="1:2" x14ac:dyDescent="0.3">
      <c r="A5" s="5" t="s">
        <v>7</v>
      </c>
      <c r="B5" s="6">
        <v>370000</v>
      </c>
    </row>
    <row r="6" spans="1:2" x14ac:dyDescent="0.3">
      <c r="A6" s="5" t="s">
        <v>10</v>
      </c>
      <c r="B6" s="6">
        <v>240000</v>
      </c>
    </row>
    <row r="7" spans="1:2" x14ac:dyDescent="0.3">
      <c r="A7" s="5" t="s">
        <v>15</v>
      </c>
      <c r="B7" s="6">
        <v>150000</v>
      </c>
    </row>
    <row r="8" spans="1:2" x14ac:dyDescent="0.3">
      <c r="A8" s="5" t="s">
        <v>18</v>
      </c>
      <c r="B8" s="6">
        <v>1065000</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D48732-7D2F-4EE4-84CE-BC19F41150C4}">
  <dimension ref="A3:B7"/>
  <sheetViews>
    <sheetView workbookViewId="0">
      <selection activeCell="L26" sqref="L26"/>
    </sheetView>
  </sheetViews>
  <sheetFormatPr defaultRowHeight="14.4" x14ac:dyDescent="0.3"/>
  <cols>
    <col min="1" max="1" width="12.44140625" bestFit="1" customWidth="1"/>
    <col min="2" max="2" width="14.109375" bestFit="1" customWidth="1"/>
  </cols>
  <sheetData>
    <row r="3" spans="1:2" x14ac:dyDescent="0.3">
      <c r="A3" s="4" t="s">
        <v>17</v>
      </c>
      <c r="B3" t="s">
        <v>19</v>
      </c>
    </row>
    <row r="4" spans="1:2" x14ac:dyDescent="0.3">
      <c r="A4" s="5" t="s">
        <v>6</v>
      </c>
      <c r="B4" s="6">
        <v>600000</v>
      </c>
    </row>
    <row r="5" spans="1:2" x14ac:dyDescent="0.3">
      <c r="A5" s="5" t="s">
        <v>9</v>
      </c>
      <c r="B5" s="6">
        <v>270000</v>
      </c>
    </row>
    <row r="6" spans="1:2" x14ac:dyDescent="0.3">
      <c r="A6" s="5" t="s">
        <v>12</v>
      </c>
      <c r="B6" s="6">
        <v>195000</v>
      </c>
    </row>
    <row r="7" spans="1:2" x14ac:dyDescent="0.3">
      <c r="A7" s="5" t="s">
        <v>18</v>
      </c>
      <c r="B7" s="6">
        <v>1065000</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3684DF-9B64-43C0-A2F3-3105FDD5C52D}">
  <dimension ref="A3:B8"/>
  <sheetViews>
    <sheetView workbookViewId="0">
      <selection activeCell="A3" sqref="A3:B8"/>
    </sheetView>
  </sheetViews>
  <sheetFormatPr defaultRowHeight="14.4" x14ac:dyDescent="0.3"/>
  <cols>
    <col min="1" max="1" width="12.44140625" bestFit="1" customWidth="1"/>
    <col min="2" max="2" width="14.109375" bestFit="1" customWidth="1"/>
  </cols>
  <sheetData>
    <row r="3" spans="1:2" x14ac:dyDescent="0.3">
      <c r="A3" s="4" t="s">
        <v>17</v>
      </c>
      <c r="B3" t="s">
        <v>19</v>
      </c>
    </row>
    <row r="4" spans="1:2" x14ac:dyDescent="0.3">
      <c r="A4" s="5" t="s">
        <v>8</v>
      </c>
      <c r="B4" s="6">
        <v>370000</v>
      </c>
    </row>
    <row r="5" spans="1:2" x14ac:dyDescent="0.3">
      <c r="A5" s="5" t="s">
        <v>14</v>
      </c>
      <c r="B5" s="6">
        <v>305000</v>
      </c>
    </row>
    <row r="6" spans="1:2" x14ac:dyDescent="0.3">
      <c r="A6" s="5" t="s">
        <v>16</v>
      </c>
      <c r="B6" s="6">
        <v>150000</v>
      </c>
    </row>
    <row r="7" spans="1:2" x14ac:dyDescent="0.3">
      <c r="A7" s="5" t="s">
        <v>11</v>
      </c>
      <c r="B7" s="6">
        <v>240000</v>
      </c>
    </row>
    <row r="8" spans="1:2" x14ac:dyDescent="0.3">
      <c r="A8" s="5" t="s">
        <v>18</v>
      </c>
      <c r="B8" s="6">
        <v>1065000</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D503D5-5C0D-476A-925C-31FDF4A76382}">
  <dimension ref="A3:B11"/>
  <sheetViews>
    <sheetView workbookViewId="0">
      <selection activeCell="B33" sqref="B33"/>
    </sheetView>
  </sheetViews>
  <sheetFormatPr defaultRowHeight="14.4" x14ac:dyDescent="0.3"/>
  <cols>
    <col min="1" max="1" width="12.44140625" bestFit="1" customWidth="1"/>
    <col min="2" max="2" width="14.109375" bestFit="1" customWidth="1"/>
  </cols>
  <sheetData>
    <row r="3" spans="1:2" x14ac:dyDescent="0.3">
      <c r="A3" s="4" t="s">
        <v>17</v>
      </c>
      <c r="B3" t="s">
        <v>19</v>
      </c>
    </row>
    <row r="4" spans="1:2" x14ac:dyDescent="0.3">
      <c r="A4" s="7">
        <v>45658</v>
      </c>
      <c r="B4" s="6">
        <v>250000</v>
      </c>
    </row>
    <row r="5" spans="1:2" x14ac:dyDescent="0.3">
      <c r="A5" s="7">
        <v>45659</v>
      </c>
      <c r="B5" s="6">
        <v>150000</v>
      </c>
    </row>
    <row r="6" spans="1:2" x14ac:dyDescent="0.3">
      <c r="A6" s="7">
        <v>45660</v>
      </c>
      <c r="B6" s="6">
        <v>105000</v>
      </c>
    </row>
    <row r="7" spans="1:2" x14ac:dyDescent="0.3">
      <c r="A7" s="7">
        <v>45661</v>
      </c>
      <c r="B7" s="6">
        <v>150000</v>
      </c>
    </row>
    <row r="8" spans="1:2" x14ac:dyDescent="0.3">
      <c r="A8" s="7">
        <v>45662</v>
      </c>
      <c r="B8" s="6">
        <v>120000</v>
      </c>
    </row>
    <row r="9" spans="1:2" x14ac:dyDescent="0.3">
      <c r="A9" s="7">
        <v>45663</v>
      </c>
      <c r="B9" s="6">
        <v>90000</v>
      </c>
    </row>
    <row r="10" spans="1:2" x14ac:dyDescent="0.3">
      <c r="A10" s="7">
        <v>45664</v>
      </c>
      <c r="B10" s="6">
        <v>200000</v>
      </c>
    </row>
    <row r="11" spans="1:2" x14ac:dyDescent="0.3">
      <c r="A11" s="7" t="s">
        <v>18</v>
      </c>
      <c r="B11" s="6">
        <v>1065000</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F7966A-C0F4-4DE4-986C-D6D93B9E0AD8}">
  <dimension ref="A1:T5"/>
  <sheetViews>
    <sheetView tabSelected="1" zoomScale="78" workbookViewId="0">
      <selection activeCell="K45" sqref="K45"/>
    </sheetView>
  </sheetViews>
  <sheetFormatPr defaultRowHeight="14.4" x14ac:dyDescent="0.3"/>
  <cols>
    <col min="1" max="1" width="12.109375" bestFit="1" customWidth="1"/>
    <col min="2" max="2" width="10.44140625" bestFit="1" customWidth="1"/>
    <col min="6" max="6" width="10.44140625" bestFit="1" customWidth="1"/>
    <col min="8" max="8" width="9.44140625" bestFit="1" customWidth="1"/>
    <col min="14" max="14" width="9.44140625" bestFit="1" customWidth="1"/>
  </cols>
  <sheetData>
    <row r="1" spans="1:20" x14ac:dyDescent="0.3">
      <c r="A1" s="10" t="s">
        <v>20</v>
      </c>
      <c r="B1" s="9"/>
      <c r="C1" s="9"/>
      <c r="D1" s="9"/>
      <c r="E1" s="9"/>
      <c r="F1" s="9"/>
      <c r="G1" s="9"/>
      <c r="H1" s="9"/>
      <c r="I1" s="9"/>
      <c r="J1" s="9"/>
      <c r="K1" s="9"/>
      <c r="L1" s="9"/>
      <c r="M1" s="9"/>
      <c r="N1" s="9"/>
      <c r="O1" s="9"/>
      <c r="P1" s="9"/>
      <c r="Q1" s="9"/>
      <c r="R1" s="9"/>
      <c r="S1" s="9"/>
      <c r="T1" s="9"/>
    </row>
    <row r="2" spans="1:20" x14ac:dyDescent="0.3">
      <c r="A2" s="9"/>
      <c r="B2" s="9"/>
      <c r="C2" s="9"/>
      <c r="D2" s="9"/>
      <c r="E2" s="9"/>
      <c r="F2" s="9"/>
      <c r="G2" s="9"/>
      <c r="H2" s="9"/>
      <c r="I2" s="9"/>
      <c r="J2" s="9"/>
      <c r="K2" s="9"/>
      <c r="L2" s="9"/>
      <c r="M2" s="9"/>
      <c r="N2" s="9"/>
      <c r="O2" s="9"/>
      <c r="P2" s="9"/>
      <c r="Q2" s="9"/>
      <c r="R2" s="9"/>
      <c r="S2" s="9"/>
      <c r="T2" s="9"/>
    </row>
    <row r="5" spans="1:20" x14ac:dyDescent="0.3">
      <c r="F5" s="8">
        <f>SUM(Data!F:F)</f>
        <v>1065000</v>
      </c>
      <c r="J5">
        <f>SUM(Data!E:E)</f>
        <v>43</v>
      </c>
      <c r="N5" s="8">
        <f>AVERAGE(Data!F:F)</f>
        <v>152142.85714285713</v>
      </c>
    </row>
  </sheetData>
  <mergeCells count="1">
    <mergeCell ref="A1:T2"/>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Data</vt:lpstr>
      <vt:lpstr>Total Revenue by Region</vt:lpstr>
      <vt:lpstr>Sales by Product</vt:lpstr>
      <vt:lpstr>Sales by Salesperson</vt:lpstr>
      <vt:lpstr>Monthly Sales Trend</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Mrudula Ghanekar</dc:creator>
  <cp:lastModifiedBy>Mrudula Ghanekar</cp:lastModifiedBy>
  <dcterms:created xsi:type="dcterms:W3CDTF">2026-05-03T07:05:47Z</dcterms:created>
  <dcterms:modified xsi:type="dcterms:W3CDTF">2026-05-03T08:23:00Z</dcterms:modified>
</cp:coreProperties>
</file>